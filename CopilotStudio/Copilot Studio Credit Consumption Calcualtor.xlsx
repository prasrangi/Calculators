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gi\Downloads\"/>
    </mc:Choice>
  </mc:AlternateContent>
  <xr:revisionPtr revIDLastSave="0" documentId="13_ncr:1_{376E1CD3-89BB-468C-B567-86C2BCE97020}" xr6:coauthVersionLast="47" xr6:coauthVersionMax="47" xr10:uidLastSave="{00000000-0000-0000-0000-000000000000}"/>
  <workbookProtection workbookAlgorithmName="SHA-512" workbookHashValue="/bJc7nUIZ4Y46ypnDHOgIOsHpPMCoPeTbWheDGnx0ntn0yzrK0556rqL2uIjM8isfvsTtI81mO6uesd7O1349Q==" workbookSaltValue="LMyejzIGTAyOlxE5zTf9cg==" workbookSpinCount="100000" lockStructure="1"/>
  <bookViews>
    <workbookView xWindow="-110" yWindow="-110" windowWidth="22780" windowHeight="14540" firstSheet="5" activeTab="8" xr2:uid="{9607FB60-36C2-4CAA-9BF4-C6DB2A00BC8E}"/>
  </bookViews>
  <sheets>
    <sheet name="Key Licensing Rules" sheetId="1" r:id="rId1"/>
    <sheet name="1-Classic Answer" sheetId="2" r:id="rId2"/>
    <sheet name="2-Generative Answer" sheetId="3" r:id="rId3"/>
    <sheet name="3-Agent Action" sheetId="4" r:id="rId4"/>
    <sheet name="4-Graph Grounding" sheetId="5" r:id="rId5"/>
    <sheet name="5-Agent Flow Actions" sheetId="6" r:id="rId6"/>
    <sheet name="6-Autonomous Trigger" sheetId="7" r:id="rId7"/>
    <sheet name="7-AI Tools" sheetId="8" state="hidden" r:id="rId8"/>
    <sheet name="8-Content Processing" sheetId="9" r:id="rId9"/>
    <sheet name="9-Combined Features" sheetId="10" r:id="rId10"/>
    <sheet name="10-Public Website Agent" sheetId="11" state="hidden" r:id="rId11"/>
    <sheet name="11-Agent Builder Lite" sheetId="12" state="hidden" r:id="rId12"/>
    <sheet name="12-External Channel" sheetId="13" state="hidden" r:id="rId13"/>
    <sheet name="13-Proactive Greeting" sheetId="14" r:id="rId14"/>
    <sheet name="14-Testing vs Prod" sheetId="15" state="hidden" r:id="rId15"/>
    <sheet name="15-Teams Comparison" sheetId="16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0" l="1"/>
  <c r="L20" i="10"/>
  <c r="L21" i="10"/>
  <c r="L22" i="10"/>
  <c r="L23" i="10"/>
  <c r="L24" i="10"/>
  <c r="L25" i="10"/>
  <c r="L26" i="10"/>
  <c r="F55" i="10"/>
  <c r="F54" i="10"/>
  <c r="F53" i="10"/>
  <c r="F52" i="10"/>
  <c r="F51" i="10"/>
  <c r="F50" i="10"/>
  <c r="F49" i="10"/>
  <c r="F48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C63" i="10"/>
  <c r="D55" i="10"/>
  <c r="C88" i="10" s="1"/>
  <c r="C55" i="10"/>
  <c r="D54" i="10"/>
  <c r="C87" i="10" s="1"/>
  <c r="C54" i="10"/>
  <c r="D53" i="10"/>
  <c r="C86" i="10" s="1"/>
  <c r="C53" i="10"/>
  <c r="D52" i="10"/>
  <c r="C85" i="10" s="1"/>
  <c r="C52" i="10"/>
  <c r="D51" i="10"/>
  <c r="C84" i="10" s="1"/>
  <c r="C51" i="10"/>
  <c r="D50" i="10"/>
  <c r="C83" i="10" s="1"/>
  <c r="C50" i="10"/>
  <c r="D49" i="10"/>
  <c r="C82" i="10" s="1"/>
  <c r="C49" i="10"/>
  <c r="D48" i="10"/>
  <c r="C81" i="10" s="1"/>
  <c r="C48" i="10"/>
  <c r="C44" i="10"/>
  <c r="C43" i="10"/>
  <c r="C42" i="10"/>
  <c r="C43" i="16"/>
  <c r="B43" i="16"/>
  <c r="F33" i="16"/>
  <c r="C33" i="16"/>
  <c r="B33" i="16"/>
  <c r="B45" i="15"/>
  <c r="A45" i="15"/>
  <c r="B42" i="14"/>
  <c r="A42" i="14"/>
  <c r="F34" i="14"/>
  <c r="C34" i="14"/>
  <c r="B34" i="14"/>
  <c r="B35" i="13"/>
  <c r="A35" i="13"/>
  <c r="F29" i="13"/>
  <c r="C29" i="13"/>
  <c r="B29" i="13"/>
  <c r="B34" i="12"/>
  <c r="A34" i="12"/>
  <c r="F28" i="12"/>
  <c r="C28" i="12"/>
  <c r="B28" i="12"/>
  <c r="B31" i="11"/>
  <c r="A31" i="11"/>
  <c r="F25" i="11"/>
  <c r="C25" i="11"/>
  <c r="B25" i="11"/>
  <c r="B33" i="9"/>
  <c r="A33" i="9"/>
  <c r="F27" i="9"/>
  <c r="C27" i="9"/>
  <c r="B27" i="9"/>
  <c r="B36" i="8"/>
  <c r="A36" i="8"/>
  <c r="F30" i="8"/>
  <c r="C30" i="8"/>
  <c r="B30" i="8"/>
  <c r="B26" i="2"/>
  <c r="C28" i="1"/>
  <c r="H28" i="1" s="1"/>
  <c r="B13" i="5"/>
  <c r="D7" i="1"/>
  <c r="D6" i="1"/>
  <c r="D5" i="1"/>
  <c r="F35" i="15"/>
  <c r="B29" i="15"/>
  <c r="B28" i="15"/>
  <c r="B27" i="15"/>
  <c r="B19" i="16"/>
  <c r="B27" i="16" s="1"/>
  <c r="B32" i="16" s="1"/>
  <c r="B23" i="14"/>
  <c r="B19" i="14"/>
  <c r="B22" i="14" s="1"/>
  <c r="B20" i="13"/>
  <c r="B19" i="13"/>
  <c r="B18" i="13"/>
  <c r="B22" i="13" s="1"/>
  <c r="B17" i="13"/>
  <c r="B21" i="13" s="1"/>
  <c r="B23" i="13" s="1"/>
  <c r="B28" i="13" s="1"/>
  <c r="B21" i="12"/>
  <c r="B20" i="12"/>
  <c r="B17" i="11"/>
  <c r="B19" i="11" s="1"/>
  <c r="B20" i="9"/>
  <c r="B16" i="9"/>
  <c r="B18" i="9" s="1"/>
  <c r="B23" i="8"/>
  <c r="B21" i="8"/>
  <c r="B20" i="8"/>
  <c r="B19" i="8"/>
  <c r="B22" i="8" s="1"/>
  <c r="B20" i="7"/>
  <c r="B19" i="7"/>
  <c r="B18" i="7"/>
  <c r="B21" i="6"/>
  <c r="B18" i="6"/>
  <c r="B17" i="6"/>
  <c r="B19" i="6" s="1"/>
  <c r="B20" i="6" s="1"/>
  <c r="B18" i="5"/>
  <c r="B19" i="5" s="1"/>
  <c r="B20" i="5" s="1"/>
  <c r="B25" i="5" s="1"/>
  <c r="F25" i="5" s="1"/>
  <c r="B22" i="4"/>
  <c r="B18" i="4"/>
  <c r="B20" i="4" s="1"/>
  <c r="B17" i="4"/>
  <c r="B19" i="4" s="1"/>
  <c r="B21" i="3"/>
  <c r="B18" i="3"/>
  <c r="B19" i="3" s="1"/>
  <c r="B20" i="3" s="1"/>
  <c r="B19" i="2"/>
  <c r="B17" i="2"/>
  <c r="B18" i="2" s="1"/>
  <c r="D82" i="10" l="1"/>
  <c r="E49" i="10"/>
  <c r="E82" i="10" s="1"/>
  <c r="F82" i="10" s="1"/>
  <c r="D83" i="10"/>
  <c r="E50" i="10"/>
  <c r="E83" i="10" s="1"/>
  <c r="F83" i="10" s="1"/>
  <c r="D84" i="10"/>
  <c r="E51" i="10"/>
  <c r="E84" i="10" s="1"/>
  <c r="F84" i="10" s="1"/>
  <c r="D85" i="10"/>
  <c r="E52" i="10"/>
  <c r="E85" i="10" s="1"/>
  <c r="F85" i="10" s="1"/>
  <c r="D86" i="10"/>
  <c r="E53" i="10"/>
  <c r="D87" i="10"/>
  <c r="E54" i="10"/>
  <c r="D88" i="10"/>
  <c r="E55" i="10"/>
  <c r="E88" i="10" s="1"/>
  <c r="F88" i="10" s="1"/>
  <c r="E48" i="10"/>
  <c r="D81" i="10"/>
  <c r="D89" i="10" s="1"/>
  <c r="B22" i="12"/>
  <c r="B28" i="6"/>
  <c r="B27" i="5"/>
  <c r="B21" i="7"/>
  <c r="B22" i="7" s="1"/>
  <c r="B28" i="7" s="1"/>
  <c r="B29" i="4"/>
  <c r="B28" i="3"/>
  <c r="C29" i="1"/>
  <c r="C26" i="2"/>
  <c r="B21" i="4"/>
  <c r="C32" i="16"/>
  <c r="F32" i="16"/>
  <c r="C28" i="13"/>
  <c r="F28" i="13"/>
  <c r="B27" i="11"/>
  <c r="B35" i="16"/>
  <c r="B36" i="15"/>
  <c r="B26" i="5"/>
  <c r="B31" i="13"/>
  <c r="B30" i="13"/>
  <c r="C30" i="13" s="1"/>
  <c r="C30" i="1"/>
  <c r="B24" i="11"/>
  <c r="B29" i="3"/>
  <c r="C31" i="1"/>
  <c r="B28" i="5"/>
  <c r="B30" i="3"/>
  <c r="B29" i="5"/>
  <c r="B12" i="6"/>
  <c r="B11" i="9"/>
  <c r="B33" i="15"/>
  <c r="B26" i="11"/>
  <c r="B31" i="16"/>
  <c r="B23" i="16"/>
  <c r="B34" i="16"/>
  <c r="B23" i="15"/>
  <c r="B14" i="14"/>
  <c r="B27" i="13"/>
  <c r="F27" i="13" s="1"/>
  <c r="B12" i="13"/>
  <c r="B35" i="15"/>
  <c r="C35" i="15" s="1"/>
  <c r="B15" i="12"/>
  <c r="B23" i="11"/>
  <c r="F23" i="11" s="1"/>
  <c r="B10" i="11"/>
  <c r="B12" i="7"/>
  <c r="B14" i="8"/>
  <c r="B26" i="3"/>
  <c r="B13" i="3"/>
  <c r="B12" i="2"/>
  <c r="C27" i="1"/>
  <c r="B27" i="1"/>
  <c r="B11" i="1"/>
  <c r="B12" i="4"/>
  <c r="F33" i="15"/>
  <c r="F30" i="13"/>
  <c r="H27" i="1"/>
  <c r="D27" i="1"/>
  <c r="E30" i="1"/>
  <c r="H30" i="1"/>
  <c r="D30" i="1"/>
  <c r="B15" i="14"/>
  <c r="B13" i="13"/>
  <c r="B16" i="12"/>
  <c r="B11" i="11"/>
  <c r="B12" i="9"/>
  <c r="B15" i="8"/>
  <c r="B13" i="1"/>
  <c r="B28" i="1" s="1"/>
  <c r="B13" i="6"/>
  <c r="B14" i="5"/>
  <c r="B13" i="4"/>
  <c r="B14" i="3"/>
  <c r="B13" i="2"/>
  <c r="B12" i="1"/>
  <c r="B13" i="7"/>
  <c r="B34" i="15"/>
  <c r="B14" i="1"/>
  <c r="C27" i="13"/>
  <c r="C23" i="11"/>
  <c r="C25" i="5"/>
  <c r="B21" i="9"/>
  <c r="B22" i="3"/>
  <c r="B27" i="3" s="1"/>
  <c r="B24" i="14"/>
  <c r="B20" i="14"/>
  <c r="B21" i="14" s="1"/>
  <c r="B27" i="14" s="1"/>
  <c r="B24" i="8"/>
  <c r="B22" i="6"/>
  <c r="B23" i="4"/>
  <c r="B20" i="2"/>
  <c r="E87" i="10" l="1"/>
  <c r="F87" i="10" s="1"/>
  <c r="C60" i="10"/>
  <c r="E86" i="10"/>
  <c r="F86" i="10" s="1"/>
  <c r="C59" i="10"/>
  <c r="C65" i="10" s="1"/>
  <c r="C58" i="10"/>
  <c r="C64" i="10" s="1"/>
  <c r="C66" i="10" s="1"/>
  <c r="C61" i="10"/>
  <c r="E81" i="10"/>
  <c r="C34" i="16"/>
  <c r="F34" i="16"/>
  <c r="B36" i="14"/>
  <c r="B35" i="14"/>
  <c r="B32" i="14"/>
  <c r="B33" i="14"/>
  <c r="B30" i="12"/>
  <c r="B29" i="12"/>
  <c r="B27" i="12"/>
  <c r="B26" i="12"/>
  <c r="C26" i="11"/>
  <c r="F26" i="11"/>
  <c r="B28" i="9"/>
  <c r="B25" i="9"/>
  <c r="B29" i="9"/>
  <c r="B26" i="9"/>
  <c r="B32" i="8"/>
  <c r="B29" i="8"/>
  <c r="B28" i="8"/>
  <c r="B31" i="8"/>
  <c r="C28" i="7"/>
  <c r="F28" i="7"/>
  <c r="C28" i="6"/>
  <c r="A34" i="6"/>
  <c r="B34" i="6"/>
  <c r="F28" i="6"/>
  <c r="F27" i="5"/>
  <c r="B33" i="5"/>
  <c r="C27" i="5"/>
  <c r="A33" i="5"/>
  <c r="B30" i="7"/>
  <c r="B27" i="7"/>
  <c r="B29" i="7"/>
  <c r="B26" i="7"/>
  <c r="B30" i="6"/>
  <c r="B27" i="6"/>
  <c r="B26" i="6"/>
  <c r="B29" i="6"/>
  <c r="F29" i="4"/>
  <c r="C29" i="4"/>
  <c r="F28" i="3"/>
  <c r="B34" i="3"/>
  <c r="A34" i="3"/>
  <c r="C28" i="3"/>
  <c r="D29" i="1"/>
  <c r="H29" i="1"/>
  <c r="B33" i="1"/>
  <c r="C33" i="1"/>
  <c r="E29" i="1"/>
  <c r="A31" i="2"/>
  <c r="D26" i="2"/>
  <c r="G26" i="2"/>
  <c r="C42" i="16"/>
  <c r="B42" i="16"/>
  <c r="C29" i="9"/>
  <c r="B32" i="9"/>
  <c r="F29" i="9"/>
  <c r="B41" i="14"/>
  <c r="B34" i="13"/>
  <c r="E31" i="1"/>
  <c r="H31" i="1"/>
  <c r="D31" i="1"/>
  <c r="B43" i="15"/>
  <c r="A43" i="15"/>
  <c r="B30" i="4"/>
  <c r="B31" i="4"/>
  <c r="B28" i="4"/>
  <c r="B27" i="4"/>
  <c r="B24" i="2"/>
  <c r="B25" i="2"/>
  <c r="C25" i="2"/>
  <c r="B28" i="2"/>
  <c r="C28" i="2" s="1"/>
  <c r="B31" i="2" s="1"/>
  <c r="B27" i="2"/>
  <c r="C27" i="2" s="1"/>
  <c r="C24" i="2"/>
  <c r="C27" i="11"/>
  <c r="F27" i="11"/>
  <c r="C35" i="16"/>
  <c r="F35" i="16"/>
  <c r="C36" i="15"/>
  <c r="F34" i="15"/>
  <c r="C26" i="5"/>
  <c r="F26" i="5"/>
  <c r="C27" i="3"/>
  <c r="F27" i="3"/>
  <c r="D25" i="2"/>
  <c r="G25" i="2"/>
  <c r="C31" i="13"/>
  <c r="F31" i="13"/>
  <c r="C24" i="11"/>
  <c r="F24" i="11"/>
  <c r="B30" i="11"/>
  <c r="F30" i="3"/>
  <c r="C30" i="3"/>
  <c r="C29" i="5"/>
  <c r="F29" i="5"/>
  <c r="C28" i="9"/>
  <c r="F28" i="9"/>
  <c r="F31" i="16"/>
  <c r="C31" i="16"/>
  <c r="C29" i="3"/>
  <c r="F29" i="3"/>
  <c r="B33" i="3"/>
  <c r="C28" i="5"/>
  <c r="B32" i="5"/>
  <c r="F28" i="5"/>
  <c r="F26" i="3"/>
  <c r="C26" i="3"/>
  <c r="D28" i="1"/>
  <c r="E28" i="1"/>
  <c r="B70" i="10" l="1"/>
  <c r="B71" i="10"/>
  <c r="B72" i="10"/>
  <c r="B73" i="10"/>
  <c r="B74" i="10"/>
  <c r="F81" i="10"/>
  <c r="F89" i="10" s="1"/>
  <c r="E89" i="10"/>
  <c r="F35" i="14"/>
  <c r="C35" i="14"/>
  <c r="C32" i="14"/>
  <c r="F32" i="14"/>
  <c r="C33" i="14"/>
  <c r="F33" i="14"/>
  <c r="C36" i="14"/>
  <c r="F36" i="14"/>
  <c r="F29" i="12"/>
  <c r="C29" i="12"/>
  <c r="C26" i="12"/>
  <c r="F26" i="12"/>
  <c r="F30" i="12"/>
  <c r="C30" i="12"/>
  <c r="C27" i="12"/>
  <c r="F27" i="12"/>
  <c r="B33" i="12"/>
  <c r="C25" i="9"/>
  <c r="F25" i="9"/>
  <c r="C26" i="9"/>
  <c r="F26" i="9"/>
  <c r="C32" i="8"/>
  <c r="F32" i="8"/>
  <c r="C29" i="8"/>
  <c r="F29" i="8"/>
  <c r="C28" i="8"/>
  <c r="F28" i="8"/>
  <c r="B35" i="8"/>
  <c r="C31" i="8"/>
  <c r="F31" i="8"/>
  <c r="A37" i="7"/>
  <c r="B37" i="7"/>
  <c r="C26" i="7"/>
  <c r="F26" i="7"/>
  <c r="C30" i="7"/>
  <c r="F30" i="7"/>
  <c r="C27" i="7"/>
  <c r="F27" i="7"/>
  <c r="C29" i="7"/>
  <c r="F29" i="7"/>
  <c r="B36" i="7"/>
  <c r="C26" i="6"/>
  <c r="F26" i="6"/>
  <c r="C30" i="6"/>
  <c r="F30" i="6"/>
  <c r="F27" i="6"/>
  <c r="C27" i="6"/>
  <c r="B33" i="6"/>
  <c r="C29" i="6"/>
  <c r="F29" i="6"/>
  <c r="A35" i="4"/>
  <c r="B35" i="4"/>
  <c r="F31" i="4"/>
  <c r="C31" i="4"/>
  <c r="C27" i="4"/>
  <c r="F27" i="4"/>
  <c r="C30" i="4"/>
  <c r="F30" i="4"/>
  <c r="F28" i="4"/>
  <c r="C28" i="4"/>
  <c r="B34" i="4"/>
  <c r="G28" i="2"/>
  <c r="D28" i="2"/>
  <c r="D27" i="2"/>
  <c r="G27" i="2"/>
  <c r="G24" i="2"/>
  <c r="D24" i="2"/>
  <c r="B19" i="9"/>
  <c r="B28" i="14"/>
  <c r="C70" i="10" l="1"/>
  <c r="F70" i="10"/>
  <c r="A77" i="10"/>
  <c r="B77" i="10"/>
  <c r="C71" i="10"/>
  <c r="F71" i="10"/>
  <c r="C72" i="10"/>
  <c r="F72" i="10"/>
  <c r="C73" i="10"/>
  <c r="F73" i="10"/>
  <c r="C74" i="10"/>
  <c r="F74" i="10"/>
</calcChain>
</file>

<file path=xl/sharedStrings.xml><?xml version="1.0" encoding="utf-8"?>
<sst xmlns="http://schemas.openxmlformats.org/spreadsheetml/2006/main" count="809" uniqueCount="357">
  <si>
    <t>ORGANIZATION PRICING CONFIGURATION</t>
  </si>
  <si>
    <t>Enter your contracted rates and discounts below. All scenario sheets will automatically use these rates.</t>
  </si>
  <si>
    <t>BILLING OPTION</t>
  </si>
  <si>
    <t>STANDARD RATE</t>
  </si>
  <si>
    <t>YOUR DISCOUNT %</t>
  </si>
  <si>
    <t>YOUR RATE (After Discount)</t>
  </si>
  <si>
    <t>NOTES</t>
  </si>
  <si>
    <t>Pay-As-You-Go (PAYG)</t>
  </si>
  <si>
    <t>Per credit rate</t>
  </si>
  <si>
    <t>Capacity Pack (Monthly)</t>
  </si>
  <si>
    <t>$200/mo = 25,000 credits</t>
  </si>
  <si>
    <t>P3 Plan (Your Contracted Rate)</t>
  </si>
  <si>
    <t>Enter your contracted P3 rate</t>
  </si>
  <si>
    <t>Hybrid (CP + P3)</t>
  </si>
  <si>
    <t>Calculated</t>
  </si>
  <si>
    <t>-</t>
  </si>
  <si>
    <t>Auto-calculated</t>
  </si>
  <si>
    <t>First 25K @ CP rate, overage @ P3 rate</t>
  </si>
  <si>
    <t>EFFECTIVE RATES SUMMARY (Referenced by all scenario sheets)</t>
  </si>
  <si>
    <t>PAYG Rate (per credit):</t>
  </si>
  <si>
    <t>Capacity Pack Cost (monthly):</t>
  </si>
  <si>
    <t>Capacity Pack Rate (per credit):</t>
  </si>
  <si>
    <t>P3 Rate (per credit):</t>
  </si>
  <si>
    <t>Capacity Pack Credits:</t>
  </si>
  <si>
    <t>INPUT CELL LEGEND</t>
  </si>
  <si>
    <t>Green cells:</t>
  </si>
  <si>
    <t>Editable - Enter your discount percentages</t>
  </si>
  <si>
    <t>White cells:</t>
  </si>
  <si>
    <t>Calculated or reference values (protected)</t>
  </si>
  <si>
    <t>BILLING OPTIONS COMPARISON CALCULATOR</t>
  </si>
  <si>
    <t>Enter your estimated monthly credits to compare all billing options</t>
  </si>
  <si>
    <t>Estimated Monthly Credits:</t>
  </si>
  <si>
    <t>Billing Option</t>
  </si>
  <si>
    <t>Rate Applied</t>
  </si>
  <si>
    <t>Monthly Cost</t>
  </si>
  <si>
    <t>Annual Cost</t>
  </si>
  <si>
    <t>vs PAYG Savings</t>
  </si>
  <si>
    <t>Chart Data</t>
  </si>
  <si>
    <t>--</t>
  </si>
  <si>
    <t>PAYG</t>
  </si>
  <si>
    <t>Capacity Packs</t>
  </si>
  <si>
    <t>P3 Plan</t>
  </si>
  <si>
    <t>$0.0095/credit</t>
  </si>
  <si>
    <t>Hybrid (CP + PAYG)</t>
  </si>
  <si>
    <t>Quotient×CP + Remainder×PAYG</t>
  </si>
  <si>
    <t>CP + PAYG</t>
  </si>
  <si>
    <t>Quotient×CP + Remainder×P3</t>
  </si>
  <si>
    <t>CP + P3</t>
  </si>
  <si>
    <t>BEST OPTION FOR YOUR USAGE:</t>
  </si>
  <si>
    <t>Scenario 1: Classic Answer Calculator</t>
  </si>
  <si>
    <t>Classic answers are predefined, static responses. Best for FAQ bots, scripted menus, welcome messages.</t>
  </si>
  <si>
    <t>Credit Rate: 1 Copilot Credit per classic answer</t>
  </si>
  <si>
    <t>INPUT PARAMETERS</t>
  </si>
  <si>
    <t>← Green cells are editable inputs</t>
  </si>
  <si>
    <t>Number of users per day:</t>
  </si>
  <si>
    <t>Classic answers per user:</t>
  </si>
  <si>
    <t>Days per month:</t>
  </si>
  <si>
    <t>User Type (Licensed/Unlicensed):</t>
  </si>
  <si>
    <t>Unlicensed</t>
  </si>
  <si>
    <t>PAYG rate per credit:</t>
  </si>
  <si>
    <t>← From Key Licensing Rules (with discount)</t>
  </si>
  <si>
    <t>Capacity Pack cost:</t>
  </si>
  <si>
    <t>Capacity Pack credits:</t>
  </si>
  <si>
    <t>CALCULATIONS</t>
  </si>
  <si>
    <t>Credits per day:</t>
  </si>
  <si>
    <t>Credits per month:</t>
  </si>
  <si>
    <t>Is User Licensed:</t>
  </si>
  <si>
    <t>Billable Credits:</t>
  </si>
  <si>
    <t>COST COMPARISON</t>
  </si>
  <si>
    <t>Billing Model</t>
  </si>
  <si>
    <t>Calculation</t>
  </si>
  <si>
    <t>RECOMMENDATION</t>
  </si>
  <si>
    <t>💡 NOTE: M365 Copilot licensed users (B2E) pay $0 for classic answers on internal channels</t>
  </si>
  <si>
    <t>Scenario 2: Generative Answer Calculator</t>
  </si>
  <si>
    <t>Generative answers are dynamically generated by AI using RAG. Best for knowledge bases, troubleshooting, product support.</t>
  </si>
  <si>
    <t>Credit Rate: 2 Copilot Credits per generative answer</t>
  </si>
  <si>
    <t>Generative answers per user:</t>
  </si>
  <si>
    <t>← From Key Licensing Rules</t>
  </si>
  <si>
    <t>Credits per session:</t>
  </si>
  <si>
    <t>(classic×1 + generative×2)</t>
  </si>
  <si>
    <t>Scenario 3:  Agent with Action</t>
  </si>
  <si>
    <t>Agent actions include API calls, connector invocations, topic transitions. Best for CRM updates, ticket creation, system lookups.</t>
  </si>
  <si>
    <t>Credit Rate: 5 Copilot Credits per agent action</t>
  </si>
  <si>
    <t>Number of interactions per month:</t>
  </si>
  <si>
    <t>% that are FAQ (generative only):</t>
  </si>
  <si>
    <t>% that include action (gen+action):</t>
  </si>
  <si>
    <t>FAQ interactions:</t>
  </si>
  <si>
    <t>Action interactions:</t>
  </si>
  <si>
    <t>FAQ credits (2 each):</t>
  </si>
  <si>
    <t>Action credits (7 each = 2+5):</t>
  </si>
  <si>
    <t>Total credits per month:</t>
  </si>
  <si>
    <t xml:space="preserve">Scenario 4: Agent with Tenant Graph Grounding </t>
  </si>
  <si>
    <t>Tenant Graph grounding queries Microsoft Graph (emails, files, meetings). Adds 10 credits on top of base response cost.</t>
  </si>
  <si>
    <t>Credit Rate: 10 credits per Graph grounding + 2 for generative = 12 credits total per grounded response</t>
  </si>
  <si>
    <t>Licensed users per day:</t>
  </si>
  <si>
    <t>Unlicensed users per day:</t>
  </si>
  <si>
    <t>Graph grounding per user:</t>
  </si>
  <si>
    <t>Credits per unlicensed user:</t>
  </si>
  <si>
    <t>(gen×2 + graph×10)</t>
  </si>
  <si>
    <t>Daily unlicensed credits:</t>
  </si>
  <si>
    <t>Monthly credits (unlicensed):</t>
  </si>
  <si>
    <t>Licensed user cost:</t>
  </si>
  <si>
    <t>$0 (included)</t>
  </si>
  <si>
    <t>COST COMPARISON (Unlicensed Users Only)</t>
  </si>
  <si>
    <t>Scenario 5: Agent Flow Actions Calculator</t>
  </si>
  <si>
    <t>Agent flows are Power Automate flows embedded in agents. Billed per 100 flow actions (13 credits per 100).</t>
  </si>
  <si>
    <t>Credit Rate: 13 Copilot Credits per 100 flow actions (~0.13 credits per action)</t>
  </si>
  <si>
    <t>Number of triggers per month:</t>
  </si>
  <si>
    <t>Flow actions per trigger:</t>
  </si>
  <si>
    <t>Agent actions per trigger:</t>
  </si>
  <si>
    <t>Flow credits per trigger:</t>
  </si>
  <si>
    <t>(actions/100 × 13)</t>
  </si>
  <si>
    <t>Agent action credits per trigger:</t>
  </si>
  <si>
    <t>Total credits per trigger:</t>
  </si>
  <si>
    <t>Total monthly credits:</t>
  </si>
  <si>
    <t>Scenario 6: Autonomous Triggers Calculator</t>
  </si>
  <si>
    <t>Autonomous triggers fire when agent activates itself based on event/schedule. ALWAYS BILLED - even for licensed users!</t>
  </si>
  <si>
    <t>⚠️ CRITICAL: 25 Copilot Credits per autonomous trigger - ALWAYS BILLED regardless of user license!</t>
  </si>
  <si>
    <t>Autonomous triggers per month:</t>
  </si>
  <si>
    <t>Pages processed per trigger:</t>
  </si>
  <si>
    <t>Generative answers per trigger:</t>
  </si>
  <si>
    <t>CALCULATIONS (Per Trigger Breakdown)</t>
  </si>
  <si>
    <t>Autonomous trigger credits:</t>
  </si>
  <si>
    <t>(always 25)</t>
  </si>
  <si>
    <t>Content processing credits:</t>
  </si>
  <si>
    <t>(pages × 8)</t>
  </si>
  <si>
    <t>Generative answer credits:</t>
  </si>
  <si>
    <t>(answers × 2)</t>
  </si>
  <si>
    <t>Agent action credits:</t>
  </si>
  <si>
    <t>(actions × 5)</t>
  </si>
  <si>
    <t>💡 DESIGN TIP</t>
  </si>
  <si>
    <t>Consider batching - trigger on schedule to process accumulated events instead of per-event triggers.</t>
  </si>
  <si>
    <t>Scenario 7: AI Tools Calculator (Basic, Standard, Premium)</t>
  </si>
  <si>
    <t>AI TOOLS CREDIT RATES</t>
  </si>
  <si>
    <t>Tool Tier</t>
  </si>
  <si>
    <t>Credits per 10 responses</t>
  </si>
  <si>
    <t>Use Cases</t>
  </si>
  <si>
    <t>Basic</t>
  </si>
  <si>
    <t>Sentiment analysis, language detection, key phrase extraction</t>
  </si>
  <si>
    <t>Standard</t>
  </si>
  <si>
    <t>Text translation, entity extraction, category classification</t>
  </si>
  <si>
    <t>Premium</t>
  </si>
  <si>
    <t>Deep reasoning, advanced LLM prompts, Code Interpreter</t>
  </si>
  <si>
    <t>Basic AI responses per month:</t>
  </si>
  <si>
    <t>Standard AI responses per month:</t>
  </si>
  <si>
    <t>Premium AI responses per month:</t>
  </si>
  <si>
    <t>Basic credits:</t>
  </si>
  <si>
    <t>(responses/10 × 1)</t>
  </si>
  <si>
    <t>Standard credits:</t>
  </si>
  <si>
    <t>(responses/10 × 15)</t>
  </si>
  <si>
    <t>Premium credits:</t>
  </si>
  <si>
    <t>(responses/10 × 100)</t>
  </si>
  <si>
    <t>Scenario 8: Content Processing Tools Calculator</t>
  </si>
  <si>
    <t>Document processing: invoice/receipt processing, OCR, identity documents, business cards. Available in agent flows.</t>
  </si>
  <si>
    <t>Credit Rate: 8 Copilot Credits per page processed</t>
  </si>
  <si>
    <t>Documents per month:</t>
  </si>
  <si>
    <t>Average pages per document:</t>
  </si>
  <si>
    <t>Total pages per month:</t>
  </si>
  <si>
    <t>Credits per page:</t>
  </si>
  <si>
    <t>Cost per document:</t>
  </si>
  <si>
    <t>Scenario 9: Combined Multi-Feature Interaction Calculator</t>
  </si>
  <si>
    <t>Real-world deployments trigger multiple billable features in a single interaction. Credits stack per feature used.</t>
  </si>
  <si>
    <t>CREDIT RATES REFERENCE</t>
  </si>
  <si>
    <t>Feature</t>
  </si>
  <si>
    <t>Credits</t>
  </si>
  <si>
    <t>Classic answer</t>
  </si>
  <si>
    <t>Generative answer</t>
  </si>
  <si>
    <t>Agent action</t>
  </si>
  <si>
    <t>Graph grounding</t>
  </si>
  <si>
    <t>Autonomous trigger</t>
  </si>
  <si>
    <t>Content processing (per page)</t>
  </si>
  <si>
    <t>AI Basic (per 10 responses)</t>
  </si>
  <si>
    <t>AI Standard (per 10 responses)</t>
  </si>
  <si>
    <t>AI Premium (per 10 responses)</t>
  </si>
  <si>
    <t>(= 10 credits per individual response)</t>
  </si>
  <si>
    <t>INTERACTION SCENARIOS - CREDITS PER INTERACTION</t>
  </si>
  <si>
    <t>#</t>
  </si>
  <si>
    <t>Interaction Scenario</t>
  </si>
  <si>
    <t>Classic</t>
  </si>
  <si>
    <t>Generative</t>
  </si>
  <si>
    <t>Graph</t>
  </si>
  <si>
    <t>Actions</t>
  </si>
  <si>
    <t>Autonomous</t>
  </si>
  <si>
    <t>Pages</t>
  </si>
  <si>
    <t>AI Basic (responses)</t>
  </si>
  <si>
    <t>AI Standard (responses)</t>
  </si>
  <si>
    <t>AI Premium (responses)</t>
  </si>
  <si>
    <t>Credits/Interaction</t>
  </si>
  <si>
    <t>Simple FAQ (classic)</t>
  </si>
  <si>
    <t>AI-generated response</t>
  </si>
  <si>
    <t>Generative + Graph grounding</t>
  </si>
  <si>
    <t>Generative + 1 API action</t>
  </si>
  <si>
    <t>Generative + Graph + 2 actions</t>
  </si>
  <si>
    <t>Full autonomous invoice processing</t>
  </si>
  <si>
    <t>Deep reasoning + action + Graph</t>
  </si>
  <si>
    <t>Autonomous + translation + 3 actions</t>
  </si>
  <si>
    <t>INPUT: MONTHLY INTERACTION VOLUMES</t>
  </si>
  <si>
    <t>Monthly Volume</t>
  </si>
  <si>
    <t>PRICING (from Key Licensing Rules)</t>
  </si>
  <si>
    <t>P3 rate per credit:</t>
  </si>
  <si>
    <t>CREDIT CALCULATIONS BY SCENARIO</t>
  </si>
  <si>
    <t>Monthly Credits</t>
  </si>
  <si>
    <t>Always Billed?</t>
  </si>
  <si>
    <t>TOTALS</t>
  </si>
  <si>
    <t>Total Interactive Credits (non-autonomous):</t>
  </si>
  <si>
    <t>Total Autonomous Credits (always billed):</t>
  </si>
  <si>
    <t>Deep Reasoning Credits:</t>
  </si>
  <si>
    <t>Total Monthly Credits:</t>
  </si>
  <si>
    <t>Billable Interactive Credits:</t>
  </si>
  <si>
    <t>Billable Autonomous Credits:</t>
  </si>
  <si>
    <t>(always billed)</t>
  </si>
  <si>
    <t>Total Billable Credits:</t>
  </si>
  <si>
    <t>Chart Data →</t>
  </si>
  <si>
    <t>← Uses Capacity Packs for full 25K blocks, PAYG rate for remainder</t>
  </si>
  <si>
    <t>← Uses Capacity Packs for full 25K blocks, P3 rate for remainder</t>
  </si>
  <si>
    <t>💡 HYBRID BILLING: Capacity Packs cover credits in 25,000-credit blocks at the best bulk rate. Any remaining credits (overflow) are billed at either PAYG or P3 rate.</t>
  </si>
  <si>
    <t>SCENARIO COST BREAKDOWN (at PAYG rate)</t>
  </si>
  <si>
    <t>Scenario</t>
  </si>
  <si>
    <t>Monthly Interactions</t>
  </si>
  <si>
    <t>Monthly Cost (PAYG)</t>
  </si>
  <si>
    <t>TOTALS (all scenario types)</t>
  </si>
  <si>
    <t>Note: Total Interactions sums across all scenario types (not comparable units); Total Credits and Cost are meaningful aggregates.</t>
  </si>
  <si>
    <t>Scenario 10: Public Website Agent Calculator</t>
  </si>
  <si>
    <t>Agent grounded on public URLs (no SharePoint). No Graph grounding charges. Still pays for generative answers.</t>
  </si>
  <si>
    <t>Credit Rate: 2 credits per generative answer (NO graph grounding surcharge)</t>
  </si>
  <si>
    <t>Website visitors per month:</t>
  </si>
  <si>
    <t>Questions per visitor:</t>
  </si>
  <si>
    <t>NOTE: All external website users are unlicensed - credits always consumed</t>
  </si>
  <si>
    <t>Total generative answers per month:</t>
  </si>
  <si>
    <t>Credits per answer:</t>
  </si>
  <si>
    <t>💡 TIP: Ensure Graph grounding is OFF to avoid 10-credit surcharge per response</t>
  </si>
  <si>
    <t>Scenario 11: Agent Builder (Copilot Studio Lite) Calculator</t>
  </si>
  <si>
    <t>Agent Builder in M365 Copilot Chat. Special rule: Generative answers FREE if Graph grounding is OFF.</t>
  </si>
  <si>
    <t>⚠️ CRITICAL BILLING RULE</t>
  </si>
  <si>
    <t>Outcome</t>
  </si>
  <si>
    <t>Licensed User</t>
  </si>
  <si>
    <t>Unlicensed User</t>
  </si>
  <si>
    <t>Uploaded files only, Graph OFF</t>
  </si>
  <si>
    <t>0 credits (free)</t>
  </si>
  <si>
    <t>0 credits (FREE!)</t>
  </si>
  <si>
    <t>SharePoint/OneDrive, Graph ON</t>
  </si>
  <si>
    <t>12 credits (2+10)</t>
  </si>
  <si>
    <t>Users per month:</t>
  </si>
  <si>
    <t>Queries per user:</t>
  </si>
  <si>
    <t>Graph Grounding (ON/OFF):</t>
  </si>
  <si>
    <t>ON</t>
  </si>
  <si>
    <t>Total queries per month:</t>
  </si>
  <si>
    <t>Credits per query:</t>
  </si>
  <si>
    <t>(0 if licensed, 0 if Graph OFF, else 12)</t>
  </si>
  <si>
    <t>💡 TIP: Use Agent Builder with uploaded files and Graph OFF for FREE agent usage!</t>
  </si>
  <si>
    <t>Scenario 12: External Channel Agent Calculator</t>
  </si>
  <si>
    <t>Agents on external channels (website, WhatsApp, Messenger, mobile apps). ALL users billed - no license exceptions.</t>
  </si>
  <si>
    <t>⚠️ ALL EXTERNAL CHANNEL USERS ARE ALWAYS BILLED - M365 licenses do not apply</t>
  </si>
  <si>
    <t>Conversations per month:</t>
  </si>
  <si>
    <t>Turns per conversation:</t>
  </si>
  <si>
    <t>% FAQ conversations (generative only):</t>
  </si>
  <si>
    <t>% Action conversations (gen+action):</t>
  </si>
  <si>
    <t>FAQ conversations:</t>
  </si>
  <si>
    <t>Action conversations:</t>
  </si>
  <si>
    <t>Credits per FAQ conv:</t>
  </si>
  <si>
    <t>(turns × 2 credits)</t>
  </si>
  <si>
    <t>Credits per Action conv:</t>
  </si>
  <si>
    <t>(turns×2 + 1 action×5)</t>
  </si>
  <si>
    <t>Total FAQ credits:</t>
  </si>
  <si>
    <t>Total Action credits:</t>
  </si>
  <si>
    <t>Scenario 13: Proactive Greeting Calculator</t>
  </si>
  <si>
    <t>Agent initiates greeting without user prompt. Billed even if user never responds. Hidden cost risk!</t>
  </si>
  <si>
    <t>⚠️ WARNING: Credits consumed for EVERY greeting - even if 70% of users bounce without responding!</t>
  </si>
  <si>
    <t>Credit Rate: 1 Copilot Credit per proactive greeting (Classic Answer)</t>
  </si>
  <si>
    <t>Visitors per day receiving greeting:</t>
  </si>
  <si>
    <t>% who engage after greeting:</t>
  </si>
  <si>
    <t>Total greetings per month:</t>
  </si>
  <si>
    <t>Users who engage:</t>
  </si>
  <si>
    <t>Users who bounce (wasted):</t>
  </si>
  <si>
    <t>Total greeting credits:</t>
  </si>
  <si>
    <t>COST ANALYSIS</t>
  </si>
  <si>
    <t>Wasted credits (bounced users):</t>
  </si>
  <si>
    <t>Wasted cost per month:</t>
  </si>
  <si>
    <t>💡 DESIGN TIP: Use user-initiated model (click to chat) instead of auto-greeting to eliminate waste</t>
  </si>
  <si>
    <t>Scenario 14: Testing vs Production - What Gets Billed</t>
  </si>
  <si>
    <t>Understanding what's billed during development vs production testing.</t>
  </si>
  <si>
    <t>TESTING BILLING RULES</t>
  </si>
  <si>
    <t>Activity</t>
  </si>
  <si>
    <t>During Test Chat</t>
  </si>
  <si>
    <t>Published/Production</t>
  </si>
  <si>
    <t>NOT billed</t>
  </si>
  <si>
    <t>Billed (1 credit)</t>
  </si>
  <si>
    <t>Billed (2 credits)</t>
  </si>
  <si>
    <t>Agent action (connector)</t>
  </si>
  <si>
    <t>Billed (5 credits)</t>
  </si>
  <si>
    <t>Billed (10 credits)</t>
  </si>
  <si>
    <t>Agent flow actions</t>
  </si>
  <si>
    <t>BILLED</t>
  </si>
  <si>
    <t>Billed (13/100)</t>
  </si>
  <si>
    <t>AI Tools (Basic/Std/Premium)</t>
  </si>
  <si>
    <t>Billed</t>
  </si>
  <si>
    <t>Content processing (OCR)</t>
  </si>
  <si>
    <t>Billed (8/page)</t>
  </si>
  <si>
    <t>Preview features</t>
  </si>
  <si>
    <t>TESTING COST CALCULATOR</t>
  </si>
  <si>
    <t>Test conversations (simple FAQ):</t>
  </si>
  <si>
    <t>Test conversations with flows:</t>
  </si>
  <si>
    <t>Flow actions per test:</t>
  </si>
  <si>
    <t>Documents processed in tests:</t>
  </si>
  <si>
    <t>Pages per document:</t>
  </si>
  <si>
    <t>TESTING COST CALCULATIONS</t>
  </si>
  <si>
    <t>Simple FAQ tests (free):</t>
  </si>
  <si>
    <t>(test chat exempt)</t>
  </si>
  <si>
    <t>Flow test credits:</t>
  </si>
  <si>
    <t>Document processing credits:</t>
  </si>
  <si>
    <t>Total testing credits:</t>
  </si>
  <si>
    <t>Testing Cost</t>
  </si>
  <si>
    <t>Notes</t>
  </si>
  <si>
    <t>Test Type</t>
  </si>
  <si>
    <t>Credits × PAYG Rate</t>
  </si>
  <si>
    <t>Credits × P3 Rate</t>
  </si>
  <si>
    <t>Doc Processing</t>
  </si>
  <si>
    <t>• Non-production environments (Dev, Test) consume credits when agents run</t>
  </si>
  <si>
    <t>• Failed/errored responses still consume credits once processing begins</t>
  </si>
  <si>
    <t>• Retrying a question costs additional credits</t>
  </si>
  <si>
    <t>• Adding knowledge sources does NOT consume credits</t>
  </si>
  <si>
    <t>Scenario 15: Copilot Studio for Teams vs Standalone → Teams</t>
  </si>
  <si>
    <t>Two ways to deploy agents to Teams with VERY different billing!</t>
  </si>
  <si>
    <t>DEPLOYMENT COMPARISON</t>
  </si>
  <si>
    <t>Copilot Studio for Teams</t>
  </si>
  <si>
    <t>Standalone → Teams</t>
  </si>
  <si>
    <t>Built where</t>
  </si>
  <si>
    <t>Inside Microsoft Teams</t>
  </si>
  <si>
    <t>copilotstudio.microsoft.com</t>
  </si>
  <si>
    <t>License required</t>
  </si>
  <si>
    <t>No (included with M365)</t>
  </si>
  <si>
    <t>Yes (PAYG or Capacity)</t>
  </si>
  <si>
    <t>Credits consumed</t>
  </si>
  <si>
    <t>NEVER</t>
  </si>
  <si>
    <t>Yes (except M365 Copilot B2E)</t>
  </si>
  <si>
    <t>Premium connectors</t>
  </si>
  <si>
    <t>No</t>
  </si>
  <si>
    <t>Yes</t>
  </si>
  <si>
    <t>Agent flows</t>
  </si>
  <si>
    <t>Autonomous triggers</t>
  </si>
  <si>
    <t>External channels</t>
  </si>
  <si>
    <t>STANDALONE → TEAMS COST CALCULATOR</t>
  </si>
  <si>
    <t>Total employees using agent:</t>
  </si>
  <si>
    <t>Employees with M365 Copilot license:</t>
  </si>
  <si>
    <t>Unlicensed employees:</t>
  </si>
  <si>
    <t>Interactions per month per user:</t>
  </si>
  <si>
    <t>Credits per interaction (gen+action):</t>
  </si>
  <si>
    <t>STANDALONE → TEAMS COST CALCULATIONS</t>
  </si>
  <si>
    <t>Licensed user credits:</t>
  </si>
  <si>
    <t>(always $0)</t>
  </si>
  <si>
    <t>Unlicensed user credits:</t>
  </si>
  <si>
    <t>Deployment Type</t>
  </si>
  <si>
    <t>(free, limited features)</t>
  </si>
  <si>
    <t>💡 RECOMMENDATION</t>
  </si>
  <si>
    <t>Use Copilot Studio for Teams for simple FAQ bots (free)</t>
  </si>
  <si>
    <t>Use Standalone for premium connectors, flows, Graph, autonomous triggers</t>
  </si>
  <si>
    <t>BEST PAID OPTION: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</si>
</sst>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.0000"/>
    <numFmt numFmtId="166" formatCode="0&quot;%&quot;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D83B01"/>
      <name val="Aptos Narrow"/>
      <family val="2"/>
      <scheme val="minor"/>
    </font>
    <font>
      <b/>
      <sz val="11"/>
      <color rgb="FFD83B0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107C10"/>
      <name val="Aptos Narrow"/>
      <family val="2"/>
      <scheme val="minor"/>
    </font>
    <font>
      <b/>
      <i/>
      <sz val="11"/>
      <color rgb="FFD83B01"/>
      <name val="Aptos Narrow"/>
      <family val="2"/>
      <scheme val="minor"/>
    </font>
    <font>
      <sz val="11"/>
      <color rgb="FF107C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006400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0064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6400"/>
      <name val="Aptos Narrow"/>
      <family val="2"/>
      <scheme val="minor"/>
    </font>
    <font>
      <sz val="11"/>
      <color rgb="FF80808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rgb="FF66666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8D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B9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9" borderId="2" xfId="0" applyFill="1" applyBorder="1" applyAlignment="1" applyProtection="1">
      <alignment horizontal="center" vertical="center"/>
      <protection locked="0"/>
    </xf>
    <xf numFmtId="0" fontId="0" fillId="9" borderId="2" xfId="0" applyFill="1" applyBorder="1" applyAlignment="1" applyProtection="1">
      <alignment horizontal="center"/>
      <protection locked="0"/>
    </xf>
    <xf numFmtId="3" fontId="0" fillId="9" borderId="1" xfId="0" applyNumberFormat="1" applyFill="1" applyBorder="1" applyAlignment="1" applyProtection="1">
      <alignment horizontal="center"/>
      <protection locked="0"/>
    </xf>
    <xf numFmtId="0" fontId="0" fillId="9" borderId="1" xfId="0" applyFill="1" applyBorder="1" applyAlignment="1" applyProtection="1">
      <alignment horizontal="center"/>
      <protection locked="0"/>
    </xf>
    <xf numFmtId="3" fontId="0" fillId="9" borderId="2" xfId="0" applyNumberFormat="1" applyFill="1" applyBorder="1" applyAlignment="1" applyProtection="1">
      <alignment horizontal="center"/>
      <protection locked="0"/>
    </xf>
    <xf numFmtId="166" fontId="0" fillId="9" borderId="2" xfId="0" applyNumberFormat="1" applyFill="1" applyBorder="1" applyAlignment="1" applyProtection="1">
      <alignment horizontal="center"/>
      <protection locked="0"/>
    </xf>
    <xf numFmtId="166" fontId="0" fillId="9" borderId="3" xfId="0" applyNumberFormat="1" applyFill="1" applyBorder="1" applyAlignment="1" applyProtection="1">
      <alignment horizontal="center"/>
      <protection locked="0"/>
    </xf>
    <xf numFmtId="166" fontId="0" fillId="9" borderId="4" xfId="0" applyNumberFormat="1" applyFill="1" applyBorder="1" applyAlignment="1" applyProtection="1">
      <alignment horizontal="center"/>
      <protection locked="0"/>
    </xf>
    <xf numFmtId="0" fontId="1" fillId="4" borderId="0" xfId="0" applyFont="1" applyFill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/>
    <xf numFmtId="0" fontId="0" fillId="9" borderId="0" xfId="0" applyFill="1"/>
    <xf numFmtId="0" fontId="12" fillId="0" borderId="0" xfId="0" applyFont="1"/>
    <xf numFmtId="0" fontId="4" fillId="2" borderId="0" xfId="0" applyFont="1" applyFill="1"/>
    <xf numFmtId="0" fontId="5" fillId="0" borderId="0" xfId="0" applyFont="1"/>
    <xf numFmtId="0" fontId="1" fillId="5" borderId="0" xfId="0" applyFont="1" applyFill="1"/>
    <xf numFmtId="0" fontId="1" fillId="3" borderId="0" xfId="0" applyFont="1" applyFill="1"/>
    <xf numFmtId="0" fontId="10" fillId="0" borderId="0" xfId="0" applyFont="1"/>
    <xf numFmtId="165" fontId="0" fillId="10" borderId="2" xfId="0" applyNumberFormat="1" applyFill="1" applyBorder="1" applyAlignment="1">
      <alignment horizontal="center"/>
    </xf>
    <xf numFmtId="0" fontId="11" fillId="0" borderId="0" xfId="0" applyFont="1"/>
    <xf numFmtId="164" fontId="0" fillId="10" borderId="2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5" fontId="0" fillId="10" borderId="2" xfId="0" applyNumberForma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7" borderId="0" xfId="0" applyFont="1" applyFill="1"/>
    <xf numFmtId="0" fontId="0" fillId="6" borderId="0" xfId="0" applyFill="1" applyAlignment="1">
      <alignment horizontal="center"/>
    </xf>
    <xf numFmtId="3" fontId="1" fillId="0" borderId="0" xfId="0" applyNumberFormat="1" applyFont="1" applyAlignment="1">
      <alignment horizontal="center"/>
    </xf>
    <xf numFmtId="0" fontId="14" fillId="0" borderId="0" xfId="0" applyFont="1"/>
    <xf numFmtId="1" fontId="0" fillId="0" borderId="0" xfId="0" applyNumberFormat="1" applyAlignment="1">
      <alignment horizontal="center"/>
    </xf>
    <xf numFmtId="0" fontId="9" fillId="8" borderId="0" xfId="0" applyFont="1" applyFill="1"/>
    <xf numFmtId="1" fontId="1" fillId="0" borderId="0" xfId="0" applyNumberFormat="1" applyFont="1" applyAlignment="1">
      <alignment horizontal="center"/>
    </xf>
    <xf numFmtId="0" fontId="15" fillId="0" borderId="0" xfId="0" applyFont="1"/>
    <xf numFmtId="165" fontId="0" fillId="0" borderId="0" xfId="0" applyNumberFormat="1"/>
    <xf numFmtId="0" fontId="16" fillId="0" borderId="0" xfId="0" applyFont="1"/>
    <xf numFmtId="3" fontId="0" fillId="0" borderId="0" xfId="0" applyNumberFormat="1"/>
    <xf numFmtId="3" fontId="1" fillId="0" borderId="0" xfId="0" applyNumberFormat="1" applyFont="1"/>
    <xf numFmtId="0" fontId="13" fillId="0" borderId="0" xfId="0" applyFont="1"/>
    <xf numFmtId="3" fontId="1" fillId="11" borderId="0" xfId="0" applyNumberFormat="1" applyFont="1" applyFill="1"/>
    <xf numFmtId="0" fontId="17" fillId="0" borderId="0" xfId="0" applyFont="1"/>
    <xf numFmtId="0" fontId="1" fillId="9" borderId="0" xfId="0" applyFont="1" applyFill="1"/>
    <xf numFmtId="0" fontId="1" fillId="11" borderId="0" xfId="0" applyFont="1" applyFill="1"/>
    <xf numFmtId="3" fontId="1" fillId="11" borderId="0" xfId="0" applyNumberFormat="1" applyFont="1" applyFill="1" applyAlignment="1">
      <alignment horizontal="center"/>
    </xf>
    <xf numFmtId="164" fontId="1" fillId="11" borderId="0" xfId="0" applyNumberFormat="1" applyFont="1" applyFill="1" applyAlignment="1">
      <alignment horizontal="center"/>
    </xf>
    <xf numFmtId="0" fontId="18" fillId="0" borderId="0" xfId="0" applyFont="1"/>
    <xf numFmtId="3" fontId="0" fillId="9" borderId="0" xfId="0" applyNumberFormat="1" applyFill="1" applyAlignment="1" applyProtection="1">
      <alignment horizontal="center"/>
      <protection locked="0"/>
    </xf>
    <xf numFmtId="0" fontId="0" fillId="9" borderId="0" xfId="0" applyFill="1" applyProtection="1">
      <protection locked="0"/>
    </xf>
    <xf numFmtId="0" fontId="7" fillId="0" borderId="0" xfId="0" applyFont="1"/>
    <xf numFmtId="0" fontId="1" fillId="7" borderId="0" xfId="0" applyFont="1" applyFill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9" fillId="8" borderId="0" xfId="0" applyFont="1" applyFill="1"/>
    <xf numFmtId="0" fontId="0" fillId="0" borderId="0" xfId="0"/>
    <xf numFmtId="0" fontId="5" fillId="0" borderId="0" xfId="0" applyFont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Licensing Rules'!$H$26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'Key Licensing Rules'!$G$27:$G$31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'Key Licensing Rules'!$H$27:$H$31</c:f>
              <c:numCache>
                <c:formatCode>[$$-409]#,##0.00</c:formatCode>
                <c:ptCount val="5"/>
                <c:pt idx="0">
                  <c:v>1000</c:v>
                </c:pt>
                <c:pt idx="1">
                  <c:v>640</c:v>
                </c:pt>
                <c:pt idx="2">
                  <c:v>950</c:v>
                </c:pt>
                <c:pt idx="3">
                  <c:v>640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9-4A55-8752-0B96BF509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396335"/>
        <c:axId val="705397775"/>
      </c:barChart>
      <c:catAx>
        <c:axId val="70539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97775"/>
        <c:crosses val="autoZero"/>
        <c:auto val="1"/>
        <c:lblAlgn val="ctr"/>
        <c:lblOffset val="100"/>
        <c:noMultiLvlLbl val="0"/>
      </c:catAx>
      <c:valAx>
        <c:axId val="7053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9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'1-Classic Answer'!$G$23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'1-Classic Answer'!$F$24:$F$28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'1-Classic Answer'!$G$24:$G$28</c:f>
              <c:numCache>
                <c:formatCode>[$$-409]#,##0.00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1140</c:v>
                </c:pt>
                <c:pt idx="3">
                  <c:v>10080</c:v>
                </c:pt>
                <c:pt idx="4">
                  <c:v>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4-498F-869B-F0EB583E1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25919"/>
        <c:axId val="707832159"/>
      </c:barChart>
      <c:catAx>
        <c:axId val="70782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32159"/>
        <c:crosses val="autoZero"/>
        <c:auto val="1"/>
        <c:lblAlgn val="ctr"/>
        <c:lblOffset val="100"/>
        <c:noMultiLvlLbl val="0"/>
      </c:catAx>
      <c:valAx>
        <c:axId val="7078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2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'2-Generative Answer'!$F$25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'2-Generative Answer'!$E$26:$E$30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'2-Generative Answer'!$F$26:$F$30</c:f>
              <c:numCache>
                <c:formatCode>[$$-409]#,##0.00</c:formatCode>
                <c:ptCount val="5"/>
                <c:pt idx="0">
                  <c:v>2160</c:v>
                </c:pt>
                <c:pt idx="1">
                  <c:v>1440</c:v>
                </c:pt>
                <c:pt idx="2">
                  <c:v>2052</c:v>
                </c:pt>
                <c:pt idx="3">
                  <c:v>1440</c:v>
                </c:pt>
                <c:pt idx="4">
                  <c:v>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D-4143-99D2-DAE2CB8E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77887"/>
        <c:axId val="17485567"/>
      </c:barChart>
      <c:catAx>
        <c:axId val="1747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567"/>
        <c:crosses val="autoZero"/>
        <c:auto val="1"/>
        <c:lblAlgn val="ctr"/>
        <c:lblOffset val="100"/>
        <c:noMultiLvlLbl val="0"/>
      </c:catAx>
      <c:valAx>
        <c:axId val="1748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'3-Agent Action'!$F$26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'3-Agent Action'!$E$27:$E$31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'3-Agent Action'!$F$27:$F$31</c:f>
              <c:numCache>
                <c:formatCode>[$$-409]#,##0.00</c:formatCode>
                <c:ptCount val="5"/>
                <c:pt idx="0">
                  <c:v>60</c:v>
                </c:pt>
                <c:pt idx="1">
                  <c:v>38.4</c:v>
                </c:pt>
                <c:pt idx="2">
                  <c:v>57</c:v>
                </c:pt>
                <c:pt idx="3">
                  <c:v>38.4</c:v>
                </c:pt>
                <c:pt idx="4">
                  <c:v>38.4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2-4461-AEB8-C06A9982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76447"/>
        <c:axId val="17478367"/>
      </c:barChart>
      <c:catAx>
        <c:axId val="1747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8367"/>
        <c:crosses val="autoZero"/>
        <c:auto val="1"/>
        <c:lblAlgn val="ctr"/>
        <c:lblOffset val="100"/>
        <c:noMultiLvlLbl val="0"/>
      </c:catAx>
      <c:valAx>
        <c:axId val="1747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'4-Graph Grounding'!$F$24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'4-Graph Grounding'!$E$25:$E$29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'4-Graph Grounding'!$F$25:$F$29</c:f>
              <c:numCache>
                <c:formatCode>[$$-409]#,##0.00</c:formatCode>
                <c:ptCount val="5"/>
                <c:pt idx="0">
                  <c:v>1440</c:v>
                </c:pt>
                <c:pt idx="1">
                  <c:v>960</c:v>
                </c:pt>
                <c:pt idx="2">
                  <c:v>1368</c:v>
                </c:pt>
                <c:pt idx="3">
                  <c:v>990</c:v>
                </c:pt>
                <c:pt idx="4">
                  <c:v>980.5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8-4F76-932F-13D774FCA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668559"/>
        <c:axId val="700664719"/>
      </c:barChart>
      <c:catAx>
        <c:axId val="70066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664719"/>
        <c:crosses val="autoZero"/>
        <c:auto val="1"/>
        <c:lblAlgn val="ctr"/>
        <c:lblOffset val="100"/>
        <c:noMultiLvlLbl val="0"/>
      </c:catAx>
      <c:valAx>
        <c:axId val="7006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66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'5-Agent Flow Actions'!$F$25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'5-Agent Flow Actions'!$E$26:$E$30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'5-Agent Flow Actions'!$F$26:$F$30</c:f>
              <c:numCache>
                <c:formatCode>[$$-409]#,##0.00</c:formatCode>
                <c:ptCount val="5"/>
                <c:pt idx="0">
                  <c:v>630</c:v>
                </c:pt>
                <c:pt idx="1">
                  <c:v>480</c:v>
                </c:pt>
                <c:pt idx="2">
                  <c:v>598.5</c:v>
                </c:pt>
                <c:pt idx="3">
                  <c:v>450</c:v>
                </c:pt>
                <c:pt idx="4">
                  <c:v>443.5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8-44D0-B0A1-06FB24DE2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17615"/>
        <c:axId val="56918095"/>
      </c:barChart>
      <c:catAx>
        <c:axId val="5691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8095"/>
        <c:crosses val="autoZero"/>
        <c:auto val="1"/>
        <c:lblAlgn val="ctr"/>
        <c:lblOffset val="100"/>
        <c:noMultiLvlLbl val="0"/>
      </c:catAx>
      <c:valAx>
        <c:axId val="569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'6-Autonomous Trigger'!$F$25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'6-Autonomous Trigger'!$E$26:$E$30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'6-Autonomous Trigger'!$F$26:$F$30</c:f>
              <c:numCache>
                <c:formatCode>[$$-409]#,##0.00</c:formatCode>
                <c:ptCount val="5"/>
                <c:pt idx="0">
                  <c:v>336</c:v>
                </c:pt>
                <c:pt idx="1">
                  <c:v>320</c:v>
                </c:pt>
                <c:pt idx="2">
                  <c:v>319.2</c:v>
                </c:pt>
                <c:pt idx="3">
                  <c:v>246</c:v>
                </c:pt>
                <c:pt idx="4">
                  <c:v>241.7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C-4233-A80D-3E252B28F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024687"/>
        <c:axId val="676012207"/>
      </c:barChart>
      <c:catAx>
        <c:axId val="67602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012207"/>
        <c:crosses val="autoZero"/>
        <c:auto val="1"/>
        <c:lblAlgn val="ctr"/>
        <c:lblOffset val="100"/>
        <c:noMultiLvlLbl val="0"/>
      </c:catAx>
      <c:valAx>
        <c:axId val="6760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02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'7-AI Tools'!$F$27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'7-AI Tools'!$E$28:$E$32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'7-AI Tools'!$F$28:$F$32</c:f>
              <c:numCache>
                <c:formatCode>[$$-409]#,##0.00</c:formatCode>
                <c:ptCount val="5"/>
                <c:pt idx="0">
                  <c:v>1205</c:v>
                </c:pt>
                <c:pt idx="1">
                  <c:v>800</c:v>
                </c:pt>
                <c:pt idx="2">
                  <c:v>1144.75</c:v>
                </c:pt>
                <c:pt idx="3">
                  <c:v>845</c:v>
                </c:pt>
                <c:pt idx="4">
                  <c:v>834.75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7-4A77-9487-5BAA5E66A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08479"/>
        <c:axId val="149318079"/>
      </c:barChart>
      <c:catAx>
        <c:axId val="1493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8079"/>
        <c:crosses val="autoZero"/>
        <c:auto val="1"/>
        <c:lblAlgn val="ctr"/>
        <c:lblOffset val="100"/>
        <c:noMultiLvlLbl val="0"/>
      </c:catAx>
      <c:valAx>
        <c:axId val="1493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'8-Content Processing'!$F$24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'8-Content Processing'!$E$25:$E$29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'8-Content Processing'!$F$25:$F$29</c:f>
              <c:numCache>
                <c:formatCode>[$$-409]#,##0.00</c:formatCode>
                <c:ptCount val="5"/>
                <c:pt idx="0">
                  <c:v>200</c:v>
                </c:pt>
                <c:pt idx="1">
                  <c:v>128</c:v>
                </c:pt>
                <c:pt idx="2">
                  <c:v>190</c:v>
                </c:pt>
                <c:pt idx="3">
                  <c:v>128</c:v>
                </c:pt>
                <c:pt idx="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C-42E9-968C-9A8934C17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22879"/>
        <c:axId val="149323839"/>
      </c:barChart>
      <c:catAx>
        <c:axId val="14932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3839"/>
        <c:crosses val="autoZero"/>
        <c:auto val="1"/>
        <c:lblAlgn val="ctr"/>
        <c:lblOffset val="100"/>
        <c:noMultiLvlLbl val="0"/>
      </c:catAx>
      <c:valAx>
        <c:axId val="1493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 by Billing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'9-Combined Features'!$F$69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'9-Combined Features'!$E$70:$E$74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'9-Combined Features'!$F$70:$F$74</c:f>
              <c:numCache>
                <c:formatCode>[$$-409]#,##0.00</c:formatCode>
                <c:ptCount val="5"/>
                <c:pt idx="0">
                  <c:v>1210</c:v>
                </c:pt>
                <c:pt idx="1">
                  <c:v>800</c:v>
                </c:pt>
                <c:pt idx="2">
                  <c:v>1149.5</c:v>
                </c:pt>
                <c:pt idx="3">
                  <c:v>850</c:v>
                </c:pt>
                <c:pt idx="4">
                  <c:v>839.5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F-4D41-ADF1-3BC7F7E1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127488"/>
        <c:axId val="1017132288"/>
      </c:barChart>
      <c:catAx>
        <c:axId val="101712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32288"/>
        <c:crosses val="autoZero"/>
        <c:auto val="1"/>
        <c:lblAlgn val="ctr"/>
        <c:lblOffset val="100"/>
        <c:noMultiLvlLbl val="0"/>
      </c:catAx>
      <c:valAx>
        <c:axId val="101713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2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'10-Public Website Agent'!$F$22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'10-Public Website Agent'!$E$23:$E$27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'10-Public Website Agent'!$F$23:$F$27</c:f>
              <c:numCache>
                <c:formatCode>[$$-409]#,##0.00</c:formatCode>
                <c:ptCount val="5"/>
                <c:pt idx="0">
                  <c:v>120</c:v>
                </c:pt>
                <c:pt idx="1">
                  <c:v>76.8</c:v>
                </c:pt>
                <c:pt idx="2">
                  <c:v>114</c:v>
                </c:pt>
                <c:pt idx="3">
                  <c:v>76.8</c:v>
                </c:pt>
                <c:pt idx="4">
                  <c:v>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7-46DC-8947-35BEAB8F4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39679"/>
        <c:axId val="149355999"/>
      </c:barChart>
      <c:catAx>
        <c:axId val="14933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5999"/>
        <c:crosses val="autoZero"/>
        <c:auto val="1"/>
        <c:lblAlgn val="ctr"/>
        <c:lblOffset val="100"/>
        <c:noMultiLvlLbl val="0"/>
      </c:catAx>
      <c:valAx>
        <c:axId val="14935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3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'11-Agent Builder Lite'!$F$25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'11-Agent Builder Lite'!$E$26:$E$30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'11-Agent Builder Lite'!$F$26:$F$30</c:f>
              <c:numCache>
                <c:formatCode>[$$-409]#,##0.00</c:formatCode>
                <c:ptCount val="5"/>
                <c:pt idx="0">
                  <c:v>300</c:v>
                </c:pt>
                <c:pt idx="1">
                  <c:v>320</c:v>
                </c:pt>
                <c:pt idx="2">
                  <c:v>285</c:v>
                </c:pt>
                <c:pt idx="3">
                  <c:v>210</c:v>
                </c:pt>
                <c:pt idx="4">
                  <c:v>207.5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7-4F88-B42B-89B9ED795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20159"/>
        <c:axId val="707827359"/>
      </c:barChart>
      <c:catAx>
        <c:axId val="70782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27359"/>
        <c:crosses val="autoZero"/>
        <c:auto val="1"/>
        <c:lblAlgn val="ctr"/>
        <c:lblOffset val="100"/>
        <c:noMultiLvlLbl val="0"/>
      </c:catAx>
      <c:valAx>
        <c:axId val="70782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2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'12-External Channel'!$F$26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'12-External Channel'!$E$27:$E$31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'12-External Channel'!$F$27:$F$31</c:f>
              <c:numCache>
                <c:formatCode>[$$-409]#,##0.00</c:formatCode>
                <c:ptCount val="5"/>
                <c:pt idx="0">
                  <c:v>275</c:v>
                </c:pt>
                <c:pt idx="1">
                  <c:v>320</c:v>
                </c:pt>
                <c:pt idx="2">
                  <c:v>261.25</c:v>
                </c:pt>
                <c:pt idx="3">
                  <c:v>185</c:v>
                </c:pt>
                <c:pt idx="4">
                  <c:v>183.75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D-4C3F-878F-04FB5A184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306047"/>
        <c:axId val="2044303647"/>
      </c:barChart>
      <c:catAx>
        <c:axId val="204430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303647"/>
        <c:crosses val="autoZero"/>
        <c:auto val="1"/>
        <c:lblAlgn val="ctr"/>
        <c:lblOffset val="100"/>
        <c:noMultiLvlLbl val="0"/>
      </c:catAx>
      <c:valAx>
        <c:axId val="204430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30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'13-Proactive Greeting'!$F$31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'13-Proactive Greeting'!$E$32:$E$36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'13-Proactive Greeting'!$F$32:$F$36</c:f>
              <c:numCache>
                <c:formatCode>[$$-409]#,##0.00</c:formatCode>
                <c:ptCount val="5"/>
                <c:pt idx="0">
                  <c:v>1500</c:v>
                </c:pt>
                <c:pt idx="1">
                  <c:v>960</c:v>
                </c:pt>
                <c:pt idx="2">
                  <c:v>1425</c:v>
                </c:pt>
                <c:pt idx="3">
                  <c:v>960</c:v>
                </c:pt>
                <c:pt idx="4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9-4DE8-AE71-C8625CF01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294527"/>
        <c:axId val="2023297407"/>
      </c:barChart>
      <c:catAx>
        <c:axId val="20232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97407"/>
        <c:crosses val="autoZero"/>
        <c:auto val="1"/>
        <c:lblAlgn val="ctr"/>
        <c:lblOffset val="100"/>
        <c:noMultiLvlLbl val="0"/>
      </c:catAx>
      <c:valAx>
        <c:axId val="202329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9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 Credits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'14-Testing vs Prod'!$E$32</c:f>
              <c:strCache>
                <c:ptCount val="1"/>
                <c:pt idx="0">
                  <c:v>Test 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'14-Testing vs Prod'!$E$33:$E$36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C-43C9-9ED9-0F3DDC7C6DBF}"/>
            </c:ext>
          </c:extLst>
        </c:ser>
        <c:ser>
          <c:idx val="1"/>
          <c:order val="1"/>
          <c:tx>
            <c:strRef>
              <c:f>'14-Testing vs Prod'!$F$32</c:f>
              <c:strCache>
                <c:ptCount val="1"/>
                <c:pt idx="0">
                  <c:v>Credits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'14-Testing vs Prod'!$F$33:$F$36</c:f>
              <c:numCache>
                <c:formatCode>[$$-409]#,##0.00</c:formatCode>
                <c:ptCount val="4"/>
                <c:pt idx="0">
                  <c:v>11.84</c:v>
                </c:pt>
                <c:pt idx="1">
                  <c:v>11.84</c:v>
                </c:pt>
                <c:pt idx="2" formatCode="#,##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5-4B65-8FAF-BE56B25F4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97039"/>
        <c:axId val="107897519"/>
      </c:barChart>
      <c:catAx>
        <c:axId val="1078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7519"/>
        <c:crosses val="autoZero"/>
        <c:auto val="1"/>
        <c:lblAlgn val="ctr"/>
        <c:lblOffset val="100"/>
        <c:noMultiLvlLbl val="0"/>
      </c:catAx>
      <c:valAx>
        <c:axId val="1078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Billing Options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'15-Teams Comparison'!$F$30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'15-Teams Comparison'!$E$31:$E$35</c:f>
              <c:strCache>
                <c:ptCount val="5"/>
                <c:pt idx="0">
                  <c:v>PAYG</c:v>
                </c:pt>
                <c:pt idx="1">
                  <c:v>Capacity Packs</c:v>
                </c:pt>
                <c:pt idx="2">
                  <c:v>P3 Plan</c:v>
                </c:pt>
                <c:pt idx="3">
                  <c:v>CP + PAYG</c:v>
                </c:pt>
                <c:pt idx="4">
                  <c:v>CP + P3</c:v>
                </c:pt>
              </c:strCache>
            </c:strRef>
          </c:cat>
          <c:val>
            <c:numRef>
              <c:f>'15-Teams Comparison'!$F$31:$F$35</c:f>
              <c:numCache>
                <c:formatCode>[$$-409]#,##0.00</c:formatCode>
                <c:ptCount val="5"/>
                <c:pt idx="0">
                  <c:v>147</c:v>
                </c:pt>
                <c:pt idx="1">
                  <c:v>94.08</c:v>
                </c:pt>
                <c:pt idx="2">
                  <c:v>139.65</c:v>
                </c:pt>
                <c:pt idx="3">
                  <c:v>94.08</c:v>
                </c:pt>
                <c:pt idx="4">
                  <c:v>94.08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6-410B-9471-72B6D71BA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073343"/>
        <c:axId val="1948077663"/>
      </c:barChart>
      <c:catAx>
        <c:axId val="194807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77663"/>
        <c:crosses val="autoZero"/>
        <c:auto val="1"/>
        <c:lblAlgn val="ctr"/>
        <c:lblOffset val="100"/>
        <c:noMultiLvlLbl val="0"/>
      </c:catAx>
      <c:valAx>
        <c:axId val="19480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7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57149</xdr:rowOff>
    </xdr:from>
    <xdr:to>
      <xdr:col>2</xdr:col>
      <xdr:colOff>1390650</xdr:colOff>
      <xdr:row>51</xdr:row>
      <xdr:rowOff>151764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D10F07-7E15-6BDA-8C86-A973263BE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59055</xdr:rowOff>
    </xdr:from>
    <xdr:to>
      <xdr:col>4</xdr:col>
      <xdr:colOff>607695</xdr:colOff>
      <xdr:row>51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EBD09C-2BEB-8F32-83F7-FF7B3DA2C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59055</xdr:rowOff>
    </xdr:from>
    <xdr:to>
      <xdr:col>5</xdr:col>
      <xdr:colOff>0</xdr:colOff>
      <xdr:row>51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D69F96-560A-2BC0-09BC-CC5C85651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55245</xdr:rowOff>
    </xdr:from>
    <xdr:to>
      <xdr:col>4</xdr:col>
      <xdr:colOff>965835</xdr:colOff>
      <xdr:row>52</xdr:row>
      <xdr:rowOff>93345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0B4D03-459F-C9D4-D917-F23CE4F01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57149</xdr:rowOff>
    </xdr:from>
    <xdr:to>
      <xdr:col>4</xdr:col>
      <xdr:colOff>1266825</xdr:colOff>
      <xdr:row>50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C4A07E-55CD-9983-75CA-62D0BE1A4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59054</xdr:rowOff>
    </xdr:from>
    <xdr:to>
      <xdr:col>5</xdr:col>
      <xdr:colOff>0</xdr:colOff>
      <xdr:row>51</xdr:row>
      <xdr:rowOff>87629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6A079C-011A-2C19-6E9E-22B198900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60959</xdr:rowOff>
    </xdr:from>
    <xdr:to>
      <xdr:col>4</xdr:col>
      <xdr:colOff>605790</xdr:colOff>
      <xdr:row>54</xdr:row>
      <xdr:rowOff>99059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BDA933-D4C9-8ACC-3817-4C70CA4C1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59054</xdr:rowOff>
    </xdr:from>
    <xdr:to>
      <xdr:col>5</xdr:col>
      <xdr:colOff>0</xdr:colOff>
      <xdr:row>53</xdr:row>
      <xdr:rowOff>97154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FB9656-8A9C-63F3-5C8E-9B26359BC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57150</xdr:rowOff>
    </xdr:from>
    <xdr:to>
      <xdr:col>4</xdr:col>
      <xdr:colOff>967740</xdr:colOff>
      <xdr:row>50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59EAF0-283C-8921-D59E-CC6C85C77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175259</xdr:rowOff>
    </xdr:from>
    <xdr:to>
      <xdr:col>7</xdr:col>
      <xdr:colOff>1905</xdr:colOff>
      <xdr:row>111</xdr:row>
      <xdr:rowOff>22859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82363-B8BB-BAC8-2B1F-23E603E5F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55245</xdr:rowOff>
    </xdr:from>
    <xdr:to>
      <xdr:col>5</xdr:col>
      <xdr:colOff>1905</xdr:colOff>
      <xdr:row>49</xdr:row>
      <xdr:rowOff>93345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19AAB4-4C5C-31A1-EC6F-44D8FD9D8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55245</xdr:rowOff>
    </xdr:from>
    <xdr:to>
      <xdr:col>4</xdr:col>
      <xdr:colOff>600075</xdr:colOff>
      <xdr:row>52</xdr:row>
      <xdr:rowOff>93345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143C0D-AD59-7A70-419D-B68A33165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59054</xdr:rowOff>
    </xdr:from>
    <xdr:to>
      <xdr:col>4</xdr:col>
      <xdr:colOff>605790</xdr:colOff>
      <xdr:row>51</xdr:row>
      <xdr:rowOff>87629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754F95-38A1-3E2C-5B55-F1EF8408B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76200</xdr:rowOff>
    </xdr:from>
    <xdr:to>
      <xdr:col>5</xdr:col>
      <xdr:colOff>0</xdr:colOff>
      <xdr:row>58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C7BCBB-AB53-03D4-8375-AD68F43F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87629</xdr:rowOff>
    </xdr:from>
    <xdr:to>
      <xdr:col>4</xdr:col>
      <xdr:colOff>605790</xdr:colOff>
      <xdr:row>60</xdr:row>
      <xdr:rowOff>116204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375E64-3CD2-2087-8AEF-3BF452D77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78104</xdr:rowOff>
    </xdr:from>
    <xdr:to>
      <xdr:col>4</xdr:col>
      <xdr:colOff>600075</xdr:colOff>
      <xdr:row>59</xdr:row>
      <xdr:rowOff>106679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D2F983-926D-83AF-CE83-403CC7FF1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34031E0-E848-41F9-836C-4F82EB3F5CB0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FD8EDD4-9FA0-4AA7-B9C7-E640E2CFF71A}">
  <we:reference id="29673e3c-d826-4f00-92ee-162334a52b1a" version="1.0.0.8" store="excatalog" storeType="excatalog"/>
  <we:alternateReferences>
    <we:reference id="WA200009404" version="1.0.0.8" store="en-gb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830E-2029-43C0-AB3C-ACA6D4255A74}">
  <sheetPr codeName="Sheet1"/>
  <dimension ref="A1:H33"/>
  <sheetViews>
    <sheetView workbookViewId="0">
      <selection activeCell="C8" sqref="C8"/>
    </sheetView>
  </sheetViews>
  <sheetFormatPr defaultRowHeight="14.5" x14ac:dyDescent="0.35"/>
  <cols>
    <col min="1" max="1" width="40.7265625" customWidth="1"/>
    <col min="2" max="3" width="22.26953125" customWidth="1"/>
    <col min="4" max="4" width="27.7265625" customWidth="1"/>
    <col min="5" max="5" width="22.26953125" customWidth="1"/>
    <col min="6" max="6" width="19.81640625" customWidth="1"/>
  </cols>
  <sheetData>
    <row r="1" spans="1:6" ht="18.5" x14ac:dyDescent="0.45">
      <c r="A1" s="70" t="s">
        <v>0</v>
      </c>
      <c r="B1" s="68"/>
      <c r="C1" s="68"/>
      <c r="D1" s="68"/>
      <c r="E1" s="68"/>
      <c r="F1" s="68"/>
    </row>
    <row r="2" spans="1:6" x14ac:dyDescent="0.35">
      <c r="A2" s="69" t="s">
        <v>1</v>
      </c>
      <c r="B2" s="68"/>
      <c r="C2" s="68"/>
      <c r="D2" s="68"/>
      <c r="E2" s="68"/>
      <c r="F2" s="68"/>
    </row>
    <row r="4" spans="1:6" x14ac:dyDescent="0.3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/>
    </row>
    <row r="5" spans="1:6" x14ac:dyDescent="0.35">
      <c r="A5" t="s">
        <v>7</v>
      </c>
      <c r="B5" s="12">
        <v>0.01</v>
      </c>
      <c r="C5" s="8">
        <v>0</v>
      </c>
      <c r="D5" s="12">
        <f>B5*(1-C5/100)</f>
        <v>0.01</v>
      </c>
      <c r="E5" t="s">
        <v>8</v>
      </c>
    </row>
    <row r="6" spans="1:6" x14ac:dyDescent="0.35">
      <c r="A6" t="s">
        <v>9</v>
      </c>
      <c r="B6" s="13">
        <v>200</v>
      </c>
      <c r="C6" s="9">
        <v>20</v>
      </c>
      <c r="D6" s="13">
        <f>B6*(1-C6/100)</f>
        <v>160</v>
      </c>
      <c r="E6" t="s">
        <v>10</v>
      </c>
    </row>
    <row r="7" spans="1:6" x14ac:dyDescent="0.35">
      <c r="A7" t="s">
        <v>11</v>
      </c>
      <c r="B7" s="12">
        <v>9.4999999999999998E-3</v>
      </c>
      <c r="C7" s="10">
        <v>0</v>
      </c>
      <c r="D7" s="12">
        <f>B7*(1-C7/100)</f>
        <v>9.4999999999999998E-3</v>
      </c>
      <c r="E7" t="s">
        <v>12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</row>
    <row r="10" spans="1:6" x14ac:dyDescent="0.35">
      <c r="A10" s="67" t="s">
        <v>18</v>
      </c>
      <c r="B10" s="68"/>
      <c r="C10" s="68"/>
      <c r="D10" s="68"/>
      <c r="E10" s="68"/>
      <c r="F10" s="68"/>
    </row>
    <row r="11" spans="1:6" x14ac:dyDescent="0.35">
      <c r="A11" t="s">
        <v>19</v>
      </c>
      <c r="B11" s="12">
        <f>D5</f>
        <v>0.01</v>
      </c>
    </row>
    <row r="12" spans="1:6" x14ac:dyDescent="0.35">
      <c r="A12" t="s">
        <v>20</v>
      </c>
      <c r="B12" s="13">
        <f>D6</f>
        <v>160</v>
      </c>
    </row>
    <row r="13" spans="1:6" x14ac:dyDescent="0.35">
      <c r="A13" t="s">
        <v>21</v>
      </c>
      <c r="B13" s="12">
        <f>D6/25000</f>
        <v>6.4000000000000003E-3</v>
      </c>
    </row>
    <row r="14" spans="1:6" x14ac:dyDescent="0.35">
      <c r="A14" t="s">
        <v>22</v>
      </c>
      <c r="B14" s="12">
        <f>D7</f>
        <v>9.4999999999999998E-3</v>
      </c>
    </row>
    <row r="15" spans="1:6" x14ac:dyDescent="0.35">
      <c r="A15" t="s">
        <v>23</v>
      </c>
      <c r="B15" s="14">
        <v>25000</v>
      </c>
    </row>
    <row r="17" spans="1:8" x14ac:dyDescent="0.35">
      <c r="A17" s="15" t="s">
        <v>24</v>
      </c>
    </row>
    <row r="18" spans="1:8" x14ac:dyDescent="0.35">
      <c r="A18" s="16" t="s">
        <v>25</v>
      </c>
      <c r="B18" t="s">
        <v>26</v>
      </c>
    </row>
    <row r="19" spans="1:8" x14ac:dyDescent="0.35">
      <c r="A19" t="s">
        <v>27</v>
      </c>
      <c r="B19" t="s">
        <v>28</v>
      </c>
    </row>
    <row r="21" spans="1:8" x14ac:dyDescent="0.35">
      <c r="A21" s="67" t="s">
        <v>29</v>
      </c>
      <c r="B21" s="68"/>
      <c r="C21" s="68"/>
      <c r="D21" s="68"/>
      <c r="E21" s="68"/>
      <c r="F21" s="68"/>
    </row>
    <row r="22" spans="1:8" x14ac:dyDescent="0.35">
      <c r="A22" s="69" t="s">
        <v>30</v>
      </c>
      <c r="B22" s="68"/>
      <c r="C22" s="68"/>
      <c r="D22" s="68"/>
      <c r="E22" s="68"/>
      <c r="F22" s="68"/>
    </row>
    <row r="24" spans="1:8" x14ac:dyDescent="0.35">
      <c r="A24" t="s">
        <v>31</v>
      </c>
      <c r="B24" s="5">
        <v>100000</v>
      </c>
    </row>
    <row r="26" spans="1:8" x14ac:dyDescent="0.35">
      <c r="A26" s="11" t="s">
        <v>32</v>
      </c>
      <c r="B26" s="11" t="s">
        <v>33</v>
      </c>
      <c r="C26" s="11" t="s">
        <v>34</v>
      </c>
      <c r="D26" s="11" t="s">
        <v>35</v>
      </c>
      <c r="E26" s="11" t="s">
        <v>36</v>
      </c>
      <c r="G26" s="11" t="s">
        <v>37</v>
      </c>
      <c r="H26" s="11" t="s">
        <v>34</v>
      </c>
    </row>
    <row r="27" spans="1:8" x14ac:dyDescent="0.35">
      <c r="A27" t="s">
        <v>7</v>
      </c>
      <c r="B27" t="str">
        <f>TEXT(D5,"$0.0000")&amp;"/credit"</f>
        <v>$0.0100/credit</v>
      </c>
      <c r="C27" s="13">
        <f>B24*D5</f>
        <v>1000</v>
      </c>
      <c r="D27" s="13">
        <f>C27*12</f>
        <v>12000</v>
      </c>
      <c r="E27" s="2" t="s">
        <v>38</v>
      </c>
      <c r="G27" t="s">
        <v>39</v>
      </c>
      <c r="H27" s="1">
        <f>C27</f>
        <v>1000</v>
      </c>
    </row>
    <row r="28" spans="1:8" x14ac:dyDescent="0.35">
      <c r="A28" t="s">
        <v>40</v>
      </c>
      <c r="B28" t="str">
        <f>TEXT(B13,"$0.0000")&amp;"/credit"</f>
        <v>$0.0064/credit</v>
      </c>
      <c r="C28" s="13">
        <f>IF(B24&lt;25000, B24*(D6/25000), CEILING(B24/25000,1)*D6)</f>
        <v>640</v>
      </c>
      <c r="D28" s="13">
        <f>C28*12</f>
        <v>7680</v>
      </c>
      <c r="E28" s="13">
        <f>C27-C28</f>
        <v>360</v>
      </c>
      <c r="G28" t="s">
        <v>40</v>
      </c>
      <c r="H28" s="1">
        <f>C28</f>
        <v>640</v>
      </c>
    </row>
    <row r="29" spans="1:8" x14ac:dyDescent="0.35">
      <c r="A29" t="s">
        <v>41</v>
      </c>
      <c r="B29" s="2" t="s">
        <v>42</v>
      </c>
      <c r="C29" s="13">
        <f>B24*D7</f>
        <v>950</v>
      </c>
      <c r="D29" s="13">
        <f>C29*12</f>
        <v>11400</v>
      </c>
      <c r="E29" s="13">
        <f>C27-C29</f>
        <v>50</v>
      </c>
      <c r="F29" s="2"/>
      <c r="G29" s="2" t="s">
        <v>41</v>
      </c>
      <c r="H29" s="13">
        <f>C29</f>
        <v>950</v>
      </c>
    </row>
    <row r="30" spans="1:8" x14ac:dyDescent="0.35">
      <c r="A30" t="s">
        <v>43</v>
      </c>
      <c r="B30" s="2" t="s">
        <v>44</v>
      </c>
      <c r="C30" s="13">
        <f>IF(B24&lt;B15, MIN(B24*D5, B24*(D6/B15)), QUOTIENT(B24,B15)*D6 + MOD(B24,B15)*D5)</f>
        <v>640</v>
      </c>
      <c r="D30" s="13">
        <f>C30*12</f>
        <v>7680</v>
      </c>
      <c r="E30" s="13">
        <f>C27-C30</f>
        <v>360</v>
      </c>
      <c r="G30" t="s">
        <v>45</v>
      </c>
      <c r="H30" s="1">
        <f>C30</f>
        <v>640</v>
      </c>
    </row>
    <row r="31" spans="1:8" x14ac:dyDescent="0.35">
      <c r="A31" t="s">
        <v>13</v>
      </c>
      <c r="B31" s="2" t="s">
        <v>46</v>
      </c>
      <c r="C31" s="13">
        <f>IF(B24&lt;B15, MIN(B24*D7, B24*(D6/B15)), QUOTIENT(B24,B15)*D6 + MOD(B24,B15)*D7)</f>
        <v>640</v>
      </c>
      <c r="D31" s="13">
        <f>C31*12</f>
        <v>7680</v>
      </c>
      <c r="E31" s="13">
        <f>C27-C31</f>
        <v>360</v>
      </c>
      <c r="G31" t="s">
        <v>47</v>
      </c>
      <c r="H31" s="1">
        <f>C31</f>
        <v>640</v>
      </c>
    </row>
    <row r="33" spans="1:3" x14ac:dyDescent="0.35">
      <c r="A33" s="15" t="s">
        <v>48</v>
      </c>
      <c r="B33" s="17" t="str">
        <f>INDEX(A27:A31,MATCH(MIN(C27:C31),C27:C31,0))</f>
        <v>Capacity Packs</v>
      </c>
      <c r="C33" t="str">
        <f>"Monthly: "&amp;TEXT(MIN(C27:C31),"[$$-en-US]#,##0.00")&amp;" | Annual: "&amp;TEXT(MIN(C27:C31)*12,"[$$-en-US]#,##0.00")</f>
        <v>Monthly: $640.00 | Annual: $7,680.00</v>
      </c>
    </row>
  </sheetData>
  <sheetProtection algorithmName="SHA-512" hashValue="VUzV5K5QzpZ6SkUVcWDkXkqN7WCUdh1sM77ptFARCA6qwOSN/kVN+qd0fb0rnfKQOlFsW4U/6tLHeTX5r1QIDw==" saltValue="O+bNqma6mQk0shLLta98pg==" spinCount="100000" sheet="1" objects="1" scenarios="1"/>
  <mergeCells count="5">
    <mergeCell ref="A10:F10"/>
    <mergeCell ref="A21:F21"/>
    <mergeCell ref="A22:F22"/>
    <mergeCell ref="A1:F1"/>
    <mergeCell ref="A2:F2"/>
  </mergeCells>
  <dataValidations disablePrompts="1" count="2">
    <dataValidation allowBlank="1" showInputMessage="1" showErrorMessage="1" errorTitle="Invalid Input" error="Please enter a discount percentage between 0 and 100" sqref="C5:C7" xr:uid="{10892DD3-B1B0-430D-805C-F9E37EFCA20D}"/>
    <dataValidation allowBlank="1" showInputMessage="1" showErrorMessage="1" errorTitle="Invalid Input" error="Please enter a positive number for credits" sqref="B24" xr:uid="{A723125B-F3D7-4833-8B8F-7033A9CF0305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AECE-DFE1-4DE3-B348-81951A73C27B}">
  <sheetPr codeName="Sheet2"/>
  <dimension ref="A1:H36"/>
  <sheetViews>
    <sheetView topLeftCell="A6" workbookViewId="0">
      <selection activeCell="B25" sqref="B25"/>
    </sheetView>
  </sheetViews>
  <sheetFormatPr defaultRowHeight="14.5" x14ac:dyDescent="0.35"/>
  <cols>
    <col min="1" max="1" width="93" bestFit="1" customWidth="1"/>
    <col min="2" max="2" width="20.54296875" bestFit="1" customWidth="1"/>
    <col min="3" max="3" width="12.7265625" bestFit="1" customWidth="1"/>
    <col min="4" max="4" width="11.54296875" bestFit="1" customWidth="1"/>
    <col min="6" max="6" width="14" bestFit="1" customWidth="1"/>
    <col min="7" max="7" width="12.7265625" bestFit="1" customWidth="1"/>
    <col min="8" max="8" width="11.54296875" bestFit="1" customWidth="1"/>
  </cols>
  <sheetData>
    <row r="1" spans="1:4" ht="18.5" x14ac:dyDescent="0.45">
      <c r="A1" s="18" t="s">
        <v>49</v>
      </c>
    </row>
    <row r="3" spans="1:4" x14ac:dyDescent="0.35">
      <c r="A3" s="19" t="s">
        <v>50</v>
      </c>
    </row>
    <row r="5" spans="1:4" x14ac:dyDescent="0.35">
      <c r="A5" s="20" t="s">
        <v>51</v>
      </c>
    </row>
    <row r="7" spans="1:4" x14ac:dyDescent="0.35">
      <c r="A7" s="21" t="s">
        <v>52</v>
      </c>
      <c r="D7" s="22" t="s">
        <v>53</v>
      </c>
    </row>
    <row r="8" spans="1:4" x14ac:dyDescent="0.35">
      <c r="A8" s="15" t="s">
        <v>54</v>
      </c>
      <c r="B8" s="4">
        <v>1000</v>
      </c>
    </row>
    <row r="9" spans="1:4" x14ac:dyDescent="0.35">
      <c r="A9" s="15" t="s">
        <v>55</v>
      </c>
      <c r="B9" s="4">
        <v>4</v>
      </c>
    </row>
    <row r="10" spans="1:4" x14ac:dyDescent="0.35">
      <c r="A10" s="15" t="s">
        <v>56</v>
      </c>
      <c r="B10" s="4">
        <v>30</v>
      </c>
    </row>
    <row r="11" spans="1:4" x14ac:dyDescent="0.35">
      <c r="A11" s="15" t="s">
        <v>57</v>
      </c>
      <c r="B11" s="4" t="s">
        <v>58</v>
      </c>
    </row>
    <row r="12" spans="1:4" x14ac:dyDescent="0.35">
      <c r="A12" s="15" t="s">
        <v>59</v>
      </c>
      <c r="B12" s="23">
        <f>'Key Licensing Rules'!$D$5</f>
        <v>0.01</v>
      </c>
      <c r="C12" s="24" t="s">
        <v>60</v>
      </c>
    </row>
    <row r="13" spans="1:4" x14ac:dyDescent="0.35">
      <c r="A13" s="15" t="s">
        <v>61</v>
      </c>
      <c r="B13" s="25">
        <f>'Key Licensing Rules'!$D$6</f>
        <v>160</v>
      </c>
      <c r="C13" s="24" t="s">
        <v>60</v>
      </c>
    </row>
    <row r="14" spans="1:4" x14ac:dyDescent="0.35">
      <c r="A14" s="15" t="s">
        <v>62</v>
      </c>
      <c r="B14" s="26">
        <v>25000</v>
      </c>
    </row>
    <row r="15" spans="1:4" x14ac:dyDescent="0.35">
      <c r="B15" s="2"/>
    </row>
    <row r="16" spans="1:4" x14ac:dyDescent="0.35">
      <c r="A16" s="21" t="s">
        <v>63</v>
      </c>
      <c r="B16" s="2"/>
    </row>
    <row r="17" spans="1:8" x14ac:dyDescent="0.35">
      <c r="A17" s="15" t="s">
        <v>64</v>
      </c>
      <c r="B17" s="2">
        <f>B8*B9*1</f>
        <v>4000</v>
      </c>
    </row>
    <row r="18" spans="1:8" x14ac:dyDescent="0.35">
      <c r="A18" s="15" t="s">
        <v>65</v>
      </c>
      <c r="B18" s="2">
        <f>B17*B10</f>
        <v>120000</v>
      </c>
    </row>
    <row r="19" spans="1:8" x14ac:dyDescent="0.35">
      <c r="A19" s="15" t="s">
        <v>66</v>
      </c>
      <c r="B19" s="2" t="str">
        <f>IF(UPPER(B11)="LICENSED","Yes","No")</f>
        <v>No</v>
      </c>
    </row>
    <row r="20" spans="1:8" x14ac:dyDescent="0.35">
      <c r="A20" s="15" t="s">
        <v>67</v>
      </c>
      <c r="B20" s="14">
        <f>IF(B19="Yes",0,B18)</f>
        <v>120000</v>
      </c>
      <c r="C20" s="1"/>
      <c r="D20" s="1"/>
    </row>
    <row r="21" spans="1:8" x14ac:dyDescent="0.35">
      <c r="B21" s="13"/>
      <c r="C21" s="1"/>
      <c r="D21" s="1"/>
    </row>
    <row r="22" spans="1:8" x14ac:dyDescent="0.35">
      <c r="A22" s="15" t="s">
        <v>68</v>
      </c>
      <c r="B22" s="2"/>
    </row>
    <row r="23" spans="1:8" x14ac:dyDescent="0.35">
      <c r="A23" s="11" t="s">
        <v>69</v>
      </c>
      <c r="B23" s="27" t="s">
        <v>70</v>
      </c>
      <c r="C23" s="27" t="s">
        <v>34</v>
      </c>
      <c r="D23" s="27" t="s">
        <v>35</v>
      </c>
      <c r="E23" s="2"/>
      <c r="F23" s="28" t="s">
        <v>32</v>
      </c>
      <c r="G23" s="28" t="s">
        <v>34</v>
      </c>
    </row>
    <row r="24" spans="1:8" x14ac:dyDescent="0.35">
      <c r="A24" s="15" t="s">
        <v>7</v>
      </c>
      <c r="B24" s="2" t="str">
        <f>B20 &amp; " × " &amp; TEXT('Key Licensing Rules'!$B$11,"$0.0000")</f>
        <v>120000 × $0.0100</v>
      </c>
      <c r="C24" s="13">
        <f>B20*'Key Licensing Rules'!$D$5</f>
        <v>1200</v>
      </c>
      <c r="D24" s="13">
        <f>C24*12</f>
        <v>14400</v>
      </c>
      <c r="E24" s="2"/>
      <c r="F24" s="2" t="s">
        <v>39</v>
      </c>
      <c r="G24" s="13">
        <f>C24</f>
        <v>1200</v>
      </c>
      <c r="H24" s="1"/>
    </row>
    <row r="25" spans="1:8" x14ac:dyDescent="0.35">
      <c r="A25" s="15" t="s">
        <v>40</v>
      </c>
      <c r="B25" s="2" t="str">
        <f>CEILING(B20/25000,1) &amp; " packs × " &amp; TEXT('Key Licensing Rules'!$B$12,"$0.00")</f>
        <v>5 packs × $160.00</v>
      </c>
      <c r="C25" s="13">
        <f>IF(B20&lt;25000, B20*('Key Licensing Rules'!$D$6/25000), CEILING(B20/25000,1)*'Key Licensing Rules'!$D$6)</f>
        <v>800</v>
      </c>
      <c r="D25" s="13">
        <f>C25*12</f>
        <v>9600</v>
      </c>
      <c r="E25" s="2"/>
      <c r="F25" s="2" t="s">
        <v>40</v>
      </c>
      <c r="G25" s="13">
        <f>C25</f>
        <v>800</v>
      </c>
      <c r="H25" s="1"/>
    </row>
    <row r="26" spans="1:8" x14ac:dyDescent="0.35">
      <c r="A26" s="15" t="s">
        <v>41</v>
      </c>
      <c r="B26" s="2" t="str">
        <f>B20&amp;" × "&amp;TEXT('Key Licensing Rules'!$D$7,"[$$-en-US]#,##0.0000")</f>
        <v>120000 × $0.0095</v>
      </c>
      <c r="C26" s="13">
        <f>B20*'Key Licensing Rules'!$D$7</f>
        <v>1140</v>
      </c>
      <c r="D26" s="13">
        <f>C26*12</f>
        <v>13680</v>
      </c>
      <c r="E26" s="2"/>
      <c r="F26" s="2" t="s">
        <v>41</v>
      </c>
      <c r="G26" s="13">
        <f>C26</f>
        <v>1140</v>
      </c>
      <c r="H26" s="1"/>
    </row>
    <row r="27" spans="1:8" x14ac:dyDescent="0.35">
      <c r="A27" s="15" t="s">
        <v>43</v>
      </c>
      <c r="B27" s="13">
        <f>IF(B20&lt;25000, MIN(B20*'Key Licensing Rules'!$D$5, B20*('Key Licensing Rules'!$D$6/25000)), QUOTIENT(B20,25000)*'Key Licensing Rules'!$D$6 + MOD(B20,25000)*'Key Licensing Rules'!$D$5)</f>
        <v>840</v>
      </c>
      <c r="C27" s="13">
        <f>B27*12</f>
        <v>10080</v>
      </c>
      <c r="D27" s="13">
        <f>C27*12</f>
        <v>120960</v>
      </c>
      <c r="E27" s="2"/>
      <c r="F27" s="2" t="s">
        <v>45</v>
      </c>
      <c r="G27" s="13">
        <f>C27</f>
        <v>10080</v>
      </c>
      <c r="H27" s="1"/>
    </row>
    <row r="28" spans="1:8" x14ac:dyDescent="0.35">
      <c r="A28" s="15" t="s">
        <v>13</v>
      </c>
      <c r="B28" s="13">
        <f>IF(B20&lt;25000, MIN(B20*'Key Licensing Rules'!$D$7, B20*('Key Licensing Rules'!$D$6/25000)), QUOTIENT(B20,25000)*'Key Licensing Rules'!$D$6 + MOD(B20,25000)*'Key Licensing Rules'!$D$7)</f>
        <v>830</v>
      </c>
      <c r="C28" s="13">
        <f>B28*12</f>
        <v>9960</v>
      </c>
      <c r="D28" s="13">
        <f>C28*12</f>
        <v>119520</v>
      </c>
      <c r="E28" s="2"/>
      <c r="F28" s="2" t="s">
        <v>47</v>
      </c>
      <c r="G28" s="13">
        <f>C28</f>
        <v>9960</v>
      </c>
    </row>
    <row r="29" spans="1:8" x14ac:dyDescent="0.35">
      <c r="B29" s="2"/>
      <c r="C29" s="2"/>
      <c r="D29" s="2"/>
      <c r="E29" s="2"/>
      <c r="F29" s="2"/>
      <c r="G29" s="2"/>
    </row>
    <row r="30" spans="1:8" x14ac:dyDescent="0.35">
      <c r="A30" s="15" t="s">
        <v>71</v>
      </c>
      <c r="B30" s="2"/>
      <c r="C30" s="2"/>
      <c r="D30" s="2"/>
      <c r="E30" s="2"/>
      <c r="F30" s="2"/>
      <c r="G30" s="2"/>
    </row>
    <row r="31" spans="1:8" x14ac:dyDescent="0.35">
      <c r="A31" s="17" t="str">
        <f>INDEX(A24:A28,MATCH(MIN(C24:C28),C24:C28,0))&amp;" is cheapest"</f>
        <v>Capacity Packs is cheapest</v>
      </c>
      <c r="B31" s="2" t="str">
        <f>"Monthly: "&amp;TEXT(MIN(C24:C28),"[$$-en-US]#,##0.00")&amp;" | Annual: "&amp;TEXT(MIN(C24:C28)*12,"[$$-en-US]#,##0.00")</f>
        <v>Monthly: $800.00 | Annual: $9,600.00</v>
      </c>
      <c r="C31" s="2"/>
      <c r="D31" s="2"/>
      <c r="E31" s="2"/>
      <c r="F31" s="2"/>
      <c r="G31" s="2"/>
    </row>
    <row r="32" spans="1:8" x14ac:dyDescent="0.35">
      <c r="B32" s="2"/>
      <c r="C32" s="2"/>
      <c r="D32" s="2"/>
      <c r="E32" s="2"/>
      <c r="F32" s="2"/>
      <c r="G32" s="2"/>
    </row>
    <row r="33" spans="1:7" x14ac:dyDescent="0.35">
      <c r="A33" t="s">
        <v>72</v>
      </c>
      <c r="B33" s="2"/>
      <c r="C33" s="2"/>
      <c r="D33" s="2"/>
      <c r="E33" s="2"/>
      <c r="F33" s="2"/>
      <c r="G33" s="2"/>
    </row>
    <row r="34" spans="1:7" x14ac:dyDescent="0.35">
      <c r="B34" s="2"/>
      <c r="C34" s="2"/>
      <c r="D34" s="2"/>
      <c r="E34" s="2"/>
      <c r="F34" s="2"/>
      <c r="G34" s="2"/>
    </row>
    <row r="35" spans="1:7" x14ac:dyDescent="0.35">
      <c r="B35" s="2"/>
      <c r="C35" s="2"/>
      <c r="D35" s="2"/>
      <c r="E35" s="2"/>
      <c r="F35" s="2"/>
      <c r="G35" s="2"/>
    </row>
    <row r="36" spans="1:7" x14ac:dyDescent="0.35">
      <c r="B36" s="2"/>
      <c r="C36" s="2"/>
      <c r="D36" s="2"/>
      <c r="E36" s="2"/>
      <c r="F36" s="2"/>
      <c r="G36" s="2"/>
    </row>
  </sheetData>
  <sheetProtection algorithmName="SHA-512" hashValue="Yzt8R93FZQa8t1i3LJzKWSsKjoDSdDkg7WcBtEbLjt/GCIgNrUxUJsCWKpF6/vMB+fjPDQhFEzRjZv8s8eqNHQ==" saltValue="rwEKUl8NdpPH0LRAbQrILg==" spinCount="100000" sheet="1" objects="1" scenarios="1"/>
  <dataValidations count="1">
    <dataValidation type="decimal" allowBlank="1" showInputMessage="1" showErrorMessage="1" errorTitle="Invalid Entry" error="Please enter a positive number only." promptTitle="Input Required" prompt="Enter a positive number" sqref="B8:B10" xr:uid="{7CFBDF57-9230-476C-9418-F6085BCE907B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1AB6-77DC-4429-855F-3DEA74B1EE93}">
  <sheetPr codeName="Sheet3"/>
  <dimension ref="A1:G36"/>
  <sheetViews>
    <sheetView topLeftCell="A3" workbookViewId="0">
      <selection activeCell="B28" sqref="B28"/>
    </sheetView>
  </sheetViews>
  <sheetFormatPr defaultRowHeight="14.5" x14ac:dyDescent="0.35"/>
  <cols>
    <col min="1" max="1" width="109.26953125" bestFit="1" customWidth="1"/>
    <col min="2" max="2" width="12.7265625" bestFit="1" customWidth="1"/>
    <col min="3" max="3" width="23.26953125" bestFit="1" customWidth="1"/>
    <col min="5" max="5" width="14" bestFit="1" customWidth="1"/>
    <col min="6" max="6" width="12.7265625" bestFit="1" customWidth="1"/>
  </cols>
  <sheetData>
    <row r="1" spans="1:3" ht="18.5" x14ac:dyDescent="0.45">
      <c r="A1" s="18" t="s">
        <v>73</v>
      </c>
    </row>
    <row r="3" spans="1:3" x14ac:dyDescent="0.35">
      <c r="A3" s="19" t="s">
        <v>74</v>
      </c>
    </row>
    <row r="5" spans="1:3" x14ac:dyDescent="0.35">
      <c r="A5" s="20" t="s">
        <v>75</v>
      </c>
    </row>
    <row r="7" spans="1:3" x14ac:dyDescent="0.35">
      <c r="A7" s="21" t="s">
        <v>52</v>
      </c>
      <c r="C7" s="22" t="s">
        <v>53</v>
      </c>
    </row>
    <row r="8" spans="1:3" x14ac:dyDescent="0.35">
      <c r="A8" s="15" t="s">
        <v>54</v>
      </c>
      <c r="B8" s="4">
        <v>900</v>
      </c>
    </row>
    <row r="9" spans="1:3" x14ac:dyDescent="0.35">
      <c r="A9" s="15" t="s">
        <v>55</v>
      </c>
      <c r="B9" s="4">
        <v>4</v>
      </c>
    </row>
    <row r="10" spans="1:3" x14ac:dyDescent="0.35">
      <c r="A10" s="15" t="s">
        <v>76</v>
      </c>
      <c r="B10" s="4">
        <v>2</v>
      </c>
    </row>
    <row r="11" spans="1:3" x14ac:dyDescent="0.35">
      <c r="A11" s="15" t="s">
        <v>56</v>
      </c>
      <c r="B11" s="4">
        <v>30</v>
      </c>
    </row>
    <row r="12" spans="1:3" x14ac:dyDescent="0.35">
      <c r="A12" s="15" t="s">
        <v>57</v>
      </c>
      <c r="B12" s="4" t="s">
        <v>58</v>
      </c>
    </row>
    <row r="13" spans="1:3" x14ac:dyDescent="0.35">
      <c r="A13" s="15" t="s">
        <v>59</v>
      </c>
      <c r="B13" s="23">
        <f>'Key Licensing Rules'!$D$5</f>
        <v>0.01</v>
      </c>
      <c r="C13" s="24" t="s">
        <v>77</v>
      </c>
    </row>
    <row r="14" spans="1:3" x14ac:dyDescent="0.35">
      <c r="A14" s="15" t="s">
        <v>61</v>
      </c>
      <c r="B14" s="25">
        <f>'Key Licensing Rules'!$D$6</f>
        <v>160</v>
      </c>
      <c r="C14" s="24" t="s">
        <v>77</v>
      </c>
    </row>
    <row r="15" spans="1:3" x14ac:dyDescent="0.35">
      <c r="A15" s="15" t="s">
        <v>62</v>
      </c>
      <c r="B15" s="26">
        <v>25000</v>
      </c>
    </row>
    <row r="16" spans="1:3" x14ac:dyDescent="0.35">
      <c r="B16" s="2"/>
    </row>
    <row r="17" spans="1:7" x14ac:dyDescent="0.35">
      <c r="A17" s="21" t="s">
        <v>63</v>
      </c>
      <c r="B17" s="2"/>
    </row>
    <row r="18" spans="1:7" x14ac:dyDescent="0.35">
      <c r="A18" s="15" t="s">
        <v>78</v>
      </c>
      <c r="B18" s="2">
        <f>(B9*1)+(B10*2)</f>
        <v>8</v>
      </c>
      <c r="C18" t="s">
        <v>79</v>
      </c>
    </row>
    <row r="19" spans="1:7" x14ac:dyDescent="0.35">
      <c r="A19" s="15" t="s">
        <v>64</v>
      </c>
      <c r="B19" s="2">
        <f>B18*B8</f>
        <v>7200</v>
      </c>
    </row>
    <row r="20" spans="1:7" x14ac:dyDescent="0.35">
      <c r="A20" s="15" t="s">
        <v>65</v>
      </c>
      <c r="B20" s="14">
        <f>B19*B11</f>
        <v>216000</v>
      </c>
      <c r="C20" s="1"/>
      <c r="D20" s="1"/>
    </row>
    <row r="21" spans="1:7" x14ac:dyDescent="0.35">
      <c r="A21" s="15" t="s">
        <v>66</v>
      </c>
      <c r="B21" s="13" t="str">
        <f>IF(UPPER(B12)="LICENSED","Yes","No")</f>
        <v>No</v>
      </c>
      <c r="C21" s="1"/>
      <c r="D21" s="1"/>
    </row>
    <row r="22" spans="1:7" x14ac:dyDescent="0.35">
      <c r="A22" s="15" t="s">
        <v>67</v>
      </c>
      <c r="B22" s="14">
        <f>IF(B21="Yes",0,B20)</f>
        <v>216000</v>
      </c>
      <c r="C22" s="1"/>
      <c r="D22" s="1"/>
    </row>
    <row r="23" spans="1:7" x14ac:dyDescent="0.35">
      <c r="B23" s="13"/>
      <c r="C23" s="13"/>
      <c r="D23" s="13"/>
      <c r="E23" s="2"/>
      <c r="F23" s="2"/>
      <c r="G23" s="2"/>
    </row>
    <row r="24" spans="1:7" x14ac:dyDescent="0.35">
      <c r="A24" s="15" t="s">
        <v>68</v>
      </c>
      <c r="B24" s="2"/>
      <c r="C24" s="2"/>
      <c r="D24" s="2"/>
      <c r="E24" s="2"/>
      <c r="F24" s="2"/>
      <c r="G24" s="2"/>
    </row>
    <row r="25" spans="1:7" x14ac:dyDescent="0.35">
      <c r="A25" s="11" t="s">
        <v>69</v>
      </c>
      <c r="B25" s="27" t="s">
        <v>34</v>
      </c>
      <c r="C25" s="27" t="s">
        <v>35</v>
      </c>
      <c r="D25" s="2"/>
      <c r="E25" s="28" t="s">
        <v>32</v>
      </c>
      <c r="F25" s="28" t="s">
        <v>34</v>
      </c>
      <c r="G25" s="2"/>
    </row>
    <row r="26" spans="1:7" x14ac:dyDescent="0.35">
      <c r="A26" s="15" t="s">
        <v>7</v>
      </c>
      <c r="B26" s="13">
        <f>B22*'Key Licensing Rules'!$D$5</f>
        <v>2160</v>
      </c>
      <c r="C26" s="13">
        <f>B26*12</f>
        <v>25920</v>
      </c>
      <c r="D26" s="2"/>
      <c r="E26" s="2" t="s">
        <v>39</v>
      </c>
      <c r="F26" s="13">
        <f>B26</f>
        <v>2160</v>
      </c>
      <c r="G26" s="2"/>
    </row>
    <row r="27" spans="1:7" x14ac:dyDescent="0.35">
      <c r="A27" s="15" t="s">
        <v>40</v>
      </c>
      <c r="B27" s="13">
        <f>IF(B22&lt;25000, B22*('Key Licensing Rules'!$D$6/25000), CEILING(B22/25000,1)*'Key Licensing Rules'!$D$6)</f>
        <v>1440</v>
      </c>
      <c r="C27" s="13">
        <f>B27*12</f>
        <v>17280</v>
      </c>
      <c r="D27" s="2"/>
      <c r="E27" s="2" t="s">
        <v>40</v>
      </c>
      <c r="F27" s="13">
        <f>B27</f>
        <v>1440</v>
      </c>
      <c r="G27" s="2"/>
    </row>
    <row r="28" spans="1:7" x14ac:dyDescent="0.35">
      <c r="A28" s="15" t="s">
        <v>41</v>
      </c>
      <c r="B28" s="13">
        <f>B22*'Key Licensing Rules'!$D$7</f>
        <v>2052</v>
      </c>
      <c r="C28" s="13">
        <f>B28*12</f>
        <v>24624</v>
      </c>
      <c r="D28" s="2"/>
      <c r="E28" s="2" t="s">
        <v>41</v>
      </c>
      <c r="F28" s="13">
        <f>B28</f>
        <v>2052</v>
      </c>
      <c r="G28" s="2"/>
    </row>
    <row r="29" spans="1:7" x14ac:dyDescent="0.35">
      <c r="A29" s="15" t="s">
        <v>43</v>
      </c>
      <c r="B29" s="13">
        <f>IF(B22&lt;25000, MIN(B22*'Key Licensing Rules'!$D$5, B22*('Key Licensing Rules'!$D$6/25000)), QUOTIENT(B22,25000)*'Key Licensing Rules'!$D$6 + MOD(B22,25000)*'Key Licensing Rules'!$D$5)</f>
        <v>1440</v>
      </c>
      <c r="C29" s="13">
        <f>B29*12</f>
        <v>17280</v>
      </c>
      <c r="D29" s="2"/>
      <c r="E29" s="2" t="s">
        <v>45</v>
      </c>
      <c r="F29" s="13">
        <f>B29</f>
        <v>1440</v>
      </c>
      <c r="G29" s="2"/>
    </row>
    <row r="30" spans="1:7" x14ac:dyDescent="0.35">
      <c r="A30" s="15" t="s">
        <v>13</v>
      </c>
      <c r="B30" s="13">
        <f>IF(B22&lt;25000, MIN(B22*'Key Licensing Rules'!$D$7, B22*('Key Licensing Rules'!$D$6/25000)), QUOTIENT(B22,25000)*'Key Licensing Rules'!$D$6 + MOD(B22,25000)*'Key Licensing Rules'!$D$7)</f>
        <v>1432</v>
      </c>
      <c r="C30" s="13">
        <f>B30*12</f>
        <v>17184</v>
      </c>
      <c r="D30" s="2"/>
      <c r="E30" s="2" t="s">
        <v>47</v>
      </c>
      <c r="F30" s="13">
        <f>B30</f>
        <v>1432</v>
      </c>
      <c r="G30" s="2"/>
    </row>
    <row r="31" spans="1:7" x14ac:dyDescent="0.35">
      <c r="B31" s="2"/>
      <c r="C31" s="2"/>
      <c r="D31" s="2"/>
      <c r="E31" s="2"/>
      <c r="F31" s="2"/>
      <c r="G31" s="2"/>
    </row>
    <row r="32" spans="1:7" x14ac:dyDescent="0.35">
      <c r="A32" s="15" t="s">
        <v>71</v>
      </c>
      <c r="B32" s="2"/>
      <c r="C32" s="2"/>
      <c r="D32" s="2"/>
      <c r="E32" s="2"/>
      <c r="F32" s="2"/>
      <c r="G32" s="2"/>
    </row>
    <row r="33" spans="1:7" x14ac:dyDescent="0.35">
      <c r="A33" s="17" t="s">
        <v>71</v>
      </c>
      <c r="B33" s="2" t="str">
        <f>"Monthly: "&amp;TEXT(MIN(B26:B30),"[$$-en-US]#,##0.00")&amp;" | Annual: "&amp;TEXT(MIN(B26:B30)*12,"[$$-en-US]#,##0.00")</f>
        <v>Monthly: $1,432.00 | Annual: $17,184.00</v>
      </c>
      <c r="C33" s="2"/>
      <c r="D33" s="2"/>
      <c r="E33" s="2"/>
      <c r="F33" s="2"/>
      <c r="G33" s="2"/>
    </row>
    <row r="34" spans="1:7" x14ac:dyDescent="0.35">
      <c r="A34" t="str">
        <f>INDEX(A26:A30,MATCH(MIN(B26:B30),B26:B30,0))&amp;" is cheapest"</f>
        <v>Hybrid (CP + P3) is cheapest</v>
      </c>
      <c r="B34" s="2" t="str">
        <f>"Monthly: "&amp;TEXT(MIN(B26:B30),"[$$-en-US]#,##0.00")&amp;" | Annual: "&amp;TEXT(MIN(B26:B30)*12,"[$$-en-US]#,##0.00")</f>
        <v>Monthly: $1,432.00 | Annual: $17,184.00</v>
      </c>
      <c r="C34" s="2"/>
      <c r="D34" s="2"/>
      <c r="E34" s="2"/>
      <c r="F34" s="2"/>
      <c r="G34" s="2"/>
    </row>
    <row r="35" spans="1:7" x14ac:dyDescent="0.35">
      <c r="B35" s="2"/>
      <c r="C35" s="2"/>
      <c r="D35" s="2"/>
      <c r="E35" s="2"/>
      <c r="F35" s="2"/>
      <c r="G35" s="2"/>
    </row>
    <row r="36" spans="1:7" x14ac:dyDescent="0.35">
      <c r="B36" s="2"/>
      <c r="C36" s="2"/>
      <c r="D36" s="2"/>
      <c r="E36" s="2"/>
      <c r="F36" s="2"/>
    </row>
  </sheetData>
  <sheetProtection algorithmName="SHA-512" hashValue="mmn5zRArDlqrtx8BklJiuvodt91NTEWWBDh1Dq5ga4Yb/i8DcoLY1JNZJs8drfmijfQAdJrgMXxsKK0uupRzyw==" saltValue="QeDjtL98tbpF0Dhidgxznw==" spinCount="100000" sheet="1" objects="1" scenarios="1"/>
  <dataValidations count="1">
    <dataValidation type="decimal" allowBlank="1" showInputMessage="1" showErrorMessage="1" errorTitle="Invalid Entry" error="Please enter a positive number only." promptTitle="Input Required" prompt="Enter a positive number" sqref="B8:B11" xr:uid="{FD1E2596-DDA1-443E-81E6-7A0A227150B3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BECE-0DBF-430A-9034-458B7D32D8E5}">
  <sheetPr codeName="Sheet4"/>
  <dimension ref="A1:G36"/>
  <sheetViews>
    <sheetView topLeftCell="A2" workbookViewId="0">
      <selection activeCell="B30" sqref="B30"/>
    </sheetView>
  </sheetViews>
  <sheetFormatPr defaultRowHeight="14.5" x14ac:dyDescent="0.35"/>
  <cols>
    <col min="1" max="1" width="111.26953125" bestFit="1" customWidth="1"/>
    <col min="2" max="2" width="12.7265625" bestFit="1" customWidth="1"/>
    <col min="3" max="3" width="11.54296875" bestFit="1" customWidth="1"/>
    <col min="5" max="5" width="14.1796875" bestFit="1" customWidth="1"/>
    <col min="6" max="6" width="11.81640625" bestFit="1" customWidth="1"/>
  </cols>
  <sheetData>
    <row r="1" spans="1:6" ht="18.5" x14ac:dyDescent="0.45">
      <c r="A1" s="18" t="s">
        <v>80</v>
      </c>
    </row>
    <row r="3" spans="1:6" x14ac:dyDescent="0.35">
      <c r="A3" s="19" t="s">
        <v>81</v>
      </c>
    </row>
    <row r="5" spans="1:6" x14ac:dyDescent="0.35">
      <c r="A5" s="20" t="s">
        <v>82</v>
      </c>
    </row>
    <row r="7" spans="1:6" x14ac:dyDescent="0.35">
      <c r="A7" s="21" t="s">
        <v>52</v>
      </c>
      <c r="D7" s="22" t="s">
        <v>53</v>
      </c>
    </row>
    <row r="8" spans="1:6" x14ac:dyDescent="0.35">
      <c r="A8" s="15" t="s">
        <v>83</v>
      </c>
      <c r="B8" s="4">
        <v>1500</v>
      </c>
      <c r="C8" s="2"/>
      <c r="D8" s="2"/>
      <c r="E8" s="2"/>
      <c r="F8" s="2"/>
    </row>
    <row r="9" spans="1:6" x14ac:dyDescent="0.35">
      <c r="A9" s="15" t="s">
        <v>84</v>
      </c>
      <c r="B9" s="4">
        <v>60</v>
      </c>
      <c r="C9" s="2"/>
      <c r="D9" s="2"/>
      <c r="E9" s="2"/>
      <c r="F9" s="2"/>
    </row>
    <row r="10" spans="1:6" x14ac:dyDescent="0.35">
      <c r="A10" s="15" t="s">
        <v>85</v>
      </c>
      <c r="B10" s="4">
        <v>40</v>
      </c>
      <c r="C10" s="2"/>
      <c r="D10" s="2"/>
      <c r="E10" s="2"/>
      <c r="F10" s="2"/>
    </row>
    <row r="11" spans="1:6" x14ac:dyDescent="0.35">
      <c r="A11" s="15" t="s">
        <v>57</v>
      </c>
      <c r="B11" s="4" t="s">
        <v>58</v>
      </c>
      <c r="C11" s="2"/>
      <c r="D11" s="2"/>
      <c r="E11" s="2"/>
      <c r="F11" s="2"/>
    </row>
    <row r="12" spans="1:6" x14ac:dyDescent="0.35">
      <c r="A12" s="15" t="s">
        <v>59</v>
      </c>
      <c r="B12" s="23">
        <f>'Key Licensing Rules'!$D$5</f>
        <v>0.01</v>
      </c>
      <c r="C12" s="29" t="s">
        <v>77</v>
      </c>
      <c r="D12" s="2"/>
      <c r="E12" s="2"/>
      <c r="F12" s="2"/>
    </row>
    <row r="13" spans="1:6" x14ac:dyDescent="0.35">
      <c r="A13" s="15" t="s">
        <v>61</v>
      </c>
      <c r="B13" s="25">
        <f>'Key Licensing Rules'!$D$6</f>
        <v>160</v>
      </c>
      <c r="C13" s="29" t="s">
        <v>77</v>
      </c>
      <c r="D13" s="2"/>
      <c r="E13" s="2"/>
      <c r="F13" s="2"/>
    </row>
    <row r="14" spans="1:6" x14ac:dyDescent="0.35">
      <c r="A14" s="15" t="s">
        <v>62</v>
      </c>
      <c r="B14" s="26">
        <v>25000</v>
      </c>
      <c r="C14" s="2"/>
      <c r="D14" s="2"/>
      <c r="E14" s="2"/>
      <c r="F14" s="2"/>
    </row>
    <row r="15" spans="1:6" x14ac:dyDescent="0.35">
      <c r="B15" s="2"/>
      <c r="C15" s="2"/>
      <c r="D15" s="2"/>
      <c r="E15" s="2"/>
      <c r="F15" s="2"/>
    </row>
    <row r="16" spans="1:6" x14ac:dyDescent="0.35">
      <c r="A16" s="21" t="s">
        <v>63</v>
      </c>
      <c r="B16" s="2"/>
      <c r="C16" s="2"/>
      <c r="D16" s="2"/>
      <c r="E16" s="2"/>
      <c r="F16" s="2"/>
    </row>
    <row r="17" spans="1:7" x14ac:dyDescent="0.35">
      <c r="A17" s="15" t="s">
        <v>86</v>
      </c>
      <c r="B17" s="2">
        <f>B8*(B9/100)</f>
        <v>900</v>
      </c>
      <c r="C17" s="2"/>
      <c r="D17" s="2"/>
      <c r="E17" s="2"/>
      <c r="F17" s="2"/>
    </row>
    <row r="18" spans="1:7" x14ac:dyDescent="0.35">
      <c r="A18" s="15" t="s">
        <v>87</v>
      </c>
      <c r="B18" s="2">
        <f>B8*(B10/100)</f>
        <v>600</v>
      </c>
      <c r="C18" s="2"/>
      <c r="D18" s="2"/>
      <c r="E18" s="2"/>
      <c r="F18" s="2"/>
    </row>
    <row r="19" spans="1:7" x14ac:dyDescent="0.35">
      <c r="A19" s="15" t="s">
        <v>88</v>
      </c>
      <c r="B19" s="2">
        <f>B17*2</f>
        <v>1800</v>
      </c>
      <c r="C19" s="2"/>
      <c r="D19" s="2"/>
      <c r="E19" s="2"/>
      <c r="F19" s="2"/>
    </row>
    <row r="20" spans="1:7" x14ac:dyDescent="0.35">
      <c r="A20" s="15" t="s">
        <v>89</v>
      </c>
      <c r="B20" s="14">
        <f>B18*7</f>
        <v>4200</v>
      </c>
      <c r="C20" s="13"/>
      <c r="D20" s="13"/>
      <c r="E20" s="2"/>
      <c r="F20" s="2"/>
    </row>
    <row r="21" spans="1:7" x14ac:dyDescent="0.35">
      <c r="A21" s="15" t="s">
        <v>90</v>
      </c>
      <c r="B21" s="14">
        <f>B19+B20</f>
        <v>6000</v>
      </c>
      <c r="C21" s="13"/>
      <c r="D21" s="13"/>
      <c r="E21" s="2"/>
      <c r="F21" s="2"/>
    </row>
    <row r="22" spans="1:7" x14ac:dyDescent="0.35">
      <c r="A22" s="15" t="s">
        <v>66</v>
      </c>
      <c r="B22" s="13" t="str">
        <f>IF(UPPER(B11)="LICENSED","Yes","No")</f>
        <v>No</v>
      </c>
      <c r="C22" s="13"/>
      <c r="D22" s="13"/>
      <c r="E22" s="2"/>
      <c r="F22" s="2"/>
    </row>
    <row r="23" spans="1:7" x14ac:dyDescent="0.35">
      <c r="A23" s="15" t="s">
        <v>67</v>
      </c>
      <c r="B23" s="14">
        <f>IF(B22="Yes",0,B21)</f>
        <v>6000</v>
      </c>
      <c r="C23" s="13"/>
      <c r="D23" s="13"/>
      <c r="E23" s="2"/>
      <c r="F23" s="2"/>
      <c r="G23" s="2"/>
    </row>
    <row r="24" spans="1:7" x14ac:dyDescent="0.35">
      <c r="B24" s="13"/>
      <c r="C24" s="13"/>
      <c r="D24" s="13"/>
      <c r="E24" s="2"/>
      <c r="F24" s="2"/>
      <c r="G24" s="2"/>
    </row>
    <row r="25" spans="1:7" x14ac:dyDescent="0.35">
      <c r="A25" s="15" t="s">
        <v>68</v>
      </c>
      <c r="B25" s="2"/>
      <c r="C25" s="2"/>
      <c r="D25" s="2"/>
      <c r="E25" s="2"/>
      <c r="F25" s="2"/>
      <c r="G25" s="2"/>
    </row>
    <row r="26" spans="1:7" x14ac:dyDescent="0.35">
      <c r="A26" s="11" t="s">
        <v>69</v>
      </c>
      <c r="B26" s="27" t="s">
        <v>34</v>
      </c>
      <c r="C26" s="27" t="s">
        <v>35</v>
      </c>
      <c r="D26" s="2"/>
      <c r="E26" s="28" t="s">
        <v>32</v>
      </c>
      <c r="F26" s="28" t="s">
        <v>34</v>
      </c>
      <c r="G26" s="2"/>
    </row>
    <row r="27" spans="1:7" x14ac:dyDescent="0.35">
      <c r="A27" s="15" t="s">
        <v>7</v>
      </c>
      <c r="B27" s="13">
        <f>B23*'Key Licensing Rules'!$D$5</f>
        <v>60</v>
      </c>
      <c r="C27" s="13">
        <f>B27*12</f>
        <v>720</v>
      </c>
      <c r="D27" s="2"/>
      <c r="E27" s="2" t="s">
        <v>39</v>
      </c>
      <c r="F27" s="13">
        <f>B27</f>
        <v>60</v>
      </c>
      <c r="G27" s="2"/>
    </row>
    <row r="28" spans="1:7" x14ac:dyDescent="0.35">
      <c r="A28" s="15" t="s">
        <v>40</v>
      </c>
      <c r="B28" s="13">
        <f>IF(B23&lt;25000, B23*('Key Licensing Rules'!$D$6/25000), CEILING(B23/25000,1)*'Key Licensing Rules'!$D$6)</f>
        <v>38.4</v>
      </c>
      <c r="C28" s="13">
        <f>B28*12</f>
        <v>460.79999999999995</v>
      </c>
      <c r="D28" s="2"/>
      <c r="E28" s="2" t="s">
        <v>40</v>
      </c>
      <c r="F28" s="13">
        <f>B28</f>
        <v>38.4</v>
      </c>
      <c r="G28" s="2"/>
    </row>
    <row r="29" spans="1:7" x14ac:dyDescent="0.35">
      <c r="A29" s="15" t="s">
        <v>41</v>
      </c>
      <c r="B29" s="13">
        <f>B23*'Key Licensing Rules'!$D$7</f>
        <v>57</v>
      </c>
      <c r="C29" s="13">
        <f>B29*12</f>
        <v>684</v>
      </c>
      <c r="D29" s="2"/>
      <c r="E29" s="2" t="s">
        <v>41</v>
      </c>
      <c r="F29" s="13">
        <f>B29</f>
        <v>57</v>
      </c>
      <c r="G29" s="2"/>
    </row>
    <row r="30" spans="1:7" x14ac:dyDescent="0.35">
      <c r="A30" s="15" t="s">
        <v>43</v>
      </c>
      <c r="B30" s="13">
        <f>IF(B23&lt;25000, MIN(B23*'Key Licensing Rules'!$D$5, B23*('Key Licensing Rules'!$D$6/25000)), QUOTIENT(B23,25000)*'Key Licensing Rules'!$D$6 + MOD(B23,25000)*'Key Licensing Rules'!$D$5)</f>
        <v>38.4</v>
      </c>
      <c r="C30" s="13">
        <f>B30*12</f>
        <v>460.79999999999995</v>
      </c>
      <c r="D30" s="2"/>
      <c r="E30" s="2" t="s">
        <v>45</v>
      </c>
      <c r="F30" s="13">
        <f>B30</f>
        <v>38.4</v>
      </c>
      <c r="G30" s="2"/>
    </row>
    <row r="31" spans="1:7" x14ac:dyDescent="0.35">
      <c r="A31" s="15" t="s">
        <v>13</v>
      </c>
      <c r="B31" s="13">
        <f>IF(B23&lt;25000, MIN(B23*'Key Licensing Rules'!$D$7, B23*('Key Licensing Rules'!$D$6/25000)), QUOTIENT(B23,25000)*'Key Licensing Rules'!$D$6 + MOD(B23,25000)*'Key Licensing Rules'!$D$7)</f>
        <v>38.4</v>
      </c>
      <c r="C31" s="13">
        <f>B31*12</f>
        <v>460.79999999999995</v>
      </c>
      <c r="D31" s="2"/>
      <c r="E31" s="2" t="s">
        <v>47</v>
      </c>
      <c r="F31" s="13">
        <f>B31</f>
        <v>38.4</v>
      </c>
      <c r="G31" s="2"/>
    </row>
    <row r="32" spans="1:7" x14ac:dyDescent="0.35">
      <c r="B32" s="2"/>
      <c r="C32" s="2"/>
      <c r="D32" s="2"/>
      <c r="E32" s="2"/>
      <c r="F32" s="2"/>
      <c r="G32" s="2"/>
    </row>
    <row r="33" spans="1:7" x14ac:dyDescent="0.35">
      <c r="A33" s="15" t="s">
        <v>71</v>
      </c>
      <c r="B33" s="2"/>
      <c r="C33" s="2"/>
      <c r="D33" s="2"/>
      <c r="E33" s="2"/>
      <c r="F33" s="2"/>
      <c r="G33" s="2"/>
    </row>
    <row r="34" spans="1:7" x14ac:dyDescent="0.35">
      <c r="A34" s="17" t="s">
        <v>71</v>
      </c>
      <c r="B34" s="2" t="str">
        <f>"Monthly: "&amp;TEXT(MIN(B27:B31),"[$$-en-US]#,##0.00")&amp;" | Annual: "&amp;TEXT(MIN(B27:B31)*12,"[$$-en-US]#,##0.00")</f>
        <v>Monthly: $38.40 | Annual: $460.80</v>
      </c>
      <c r="C34" s="2"/>
      <c r="D34" s="2"/>
      <c r="E34" s="2"/>
      <c r="F34" s="2"/>
      <c r="G34" s="2"/>
    </row>
    <row r="35" spans="1:7" x14ac:dyDescent="0.35">
      <c r="A35" t="str">
        <f>INDEX(A27:A31,MATCH(MIN(B27:B31),B27:B31,0))&amp;" is cheapest"</f>
        <v>Capacity Packs is cheapest</v>
      </c>
      <c r="B35" s="2" t="str">
        <f>"Monthly: "&amp;TEXT(MIN(B27:B31),"[$$-en-US]#,##0.00")&amp;" | Annual: "&amp;TEXT(MIN(B27:B31)*12,"[$$-en-US]#,##0.00")</f>
        <v>Monthly: $38.40 | Annual: $460.80</v>
      </c>
      <c r="C35" s="2"/>
      <c r="D35" s="2"/>
      <c r="E35" s="2"/>
      <c r="F35" s="2"/>
      <c r="G35" s="2"/>
    </row>
    <row r="36" spans="1:7" x14ac:dyDescent="0.35">
      <c r="B36" s="2"/>
      <c r="C36" s="2"/>
      <c r="D36" s="2"/>
      <c r="E36" s="2"/>
      <c r="F36" s="2"/>
    </row>
  </sheetData>
  <sheetProtection algorithmName="SHA-512" hashValue="DaY0QSZjJJNW51hGvdMDU7pM95X1/0aV3Ypve0bcULKkP27wiBDKYTuyMvNlJkCieLmbwYvSjn5vnRUk9ElKyA==" saltValue="KuwexdGhGCctf8EtJS88Bw==" spinCount="100000" sheet="1" objects="1" scenarios="1"/>
  <dataValidations count="2">
    <dataValidation type="decimal" allowBlank="1" showInputMessage="1" showErrorMessage="1" errorTitle="Invalid Entry" error="Please enter a positive number only." sqref="B8" xr:uid="{62A47470-3925-4AB7-A15B-F47C82E991FF}">
      <formula1>0</formula1>
      <formula2>999999999</formula2>
    </dataValidation>
    <dataValidation type="decimal" allowBlank="1" showInputMessage="1" showErrorMessage="1" errorTitle="Invalid Entry" error="Please enter a percentage between 0 and 100." sqref="B9:B10" xr:uid="{C1EEB22A-00CA-408F-910D-3802591687F5}">
      <formula1>0</formula1>
      <formula2>100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D88E-DA20-44CE-BFA2-1C8E121D1025}">
  <sheetPr codeName="Sheet5"/>
  <dimension ref="A1:G36"/>
  <sheetViews>
    <sheetView workbookViewId="0">
      <selection activeCell="B33" sqref="B33"/>
    </sheetView>
  </sheetViews>
  <sheetFormatPr defaultRowHeight="14.5" x14ac:dyDescent="0.35"/>
  <cols>
    <col min="1" max="1" width="59.54296875" customWidth="1"/>
    <col min="2" max="2" width="33.7265625" bestFit="1" customWidth="1"/>
    <col min="3" max="3" width="17.26953125" bestFit="1" customWidth="1"/>
    <col min="5" max="5" width="14" bestFit="1" customWidth="1"/>
    <col min="6" max="6" width="12.7265625" bestFit="1" customWidth="1"/>
  </cols>
  <sheetData>
    <row r="1" spans="1:3" ht="18.5" x14ac:dyDescent="0.45">
      <c r="A1" s="18" t="s">
        <v>91</v>
      </c>
    </row>
    <row r="3" spans="1:3" x14ac:dyDescent="0.35">
      <c r="A3" s="19" t="s">
        <v>92</v>
      </c>
    </row>
    <row r="5" spans="1:3" x14ac:dyDescent="0.35">
      <c r="A5" s="20" t="s">
        <v>93</v>
      </c>
    </row>
    <row r="7" spans="1:3" x14ac:dyDescent="0.35">
      <c r="A7" s="21" t="s">
        <v>52</v>
      </c>
      <c r="C7" s="22" t="s">
        <v>53</v>
      </c>
    </row>
    <row r="8" spans="1:3" x14ac:dyDescent="0.35">
      <c r="A8" s="15" t="s">
        <v>94</v>
      </c>
      <c r="B8" s="3">
        <v>50</v>
      </c>
    </row>
    <row r="9" spans="1:3" x14ac:dyDescent="0.35">
      <c r="A9" s="15" t="s">
        <v>95</v>
      </c>
      <c r="B9" s="3">
        <v>100</v>
      </c>
    </row>
    <row r="10" spans="1:3" x14ac:dyDescent="0.35">
      <c r="A10" s="15" t="s">
        <v>76</v>
      </c>
      <c r="B10" s="3">
        <v>4</v>
      </c>
    </row>
    <row r="11" spans="1:3" x14ac:dyDescent="0.35">
      <c r="A11" s="15" t="s">
        <v>96</v>
      </c>
      <c r="B11" s="3">
        <v>4</v>
      </c>
    </row>
    <row r="12" spans="1:3" x14ac:dyDescent="0.35">
      <c r="A12" s="15" t="s">
        <v>56</v>
      </c>
      <c r="B12" s="3">
        <v>30</v>
      </c>
    </row>
    <row r="13" spans="1:3" x14ac:dyDescent="0.35">
      <c r="A13" s="15" t="s">
        <v>59</v>
      </c>
      <c r="B13" s="30">
        <f>'Key Licensing Rules'!$D$5</f>
        <v>0.01</v>
      </c>
      <c r="C13" s="24" t="s">
        <v>77</v>
      </c>
    </row>
    <row r="14" spans="1:3" x14ac:dyDescent="0.35">
      <c r="A14" s="15" t="s">
        <v>61</v>
      </c>
      <c r="B14" s="31">
        <f>'Key Licensing Rules'!$D$6</f>
        <v>160</v>
      </c>
      <c r="C14" s="24" t="s">
        <v>77</v>
      </c>
    </row>
    <row r="15" spans="1:3" x14ac:dyDescent="0.35">
      <c r="A15" s="15" t="s">
        <v>62</v>
      </c>
      <c r="B15" s="32">
        <v>25000</v>
      </c>
    </row>
    <row r="16" spans="1:3" x14ac:dyDescent="0.35">
      <c r="B16" s="33"/>
    </row>
    <row r="17" spans="1:7" x14ac:dyDescent="0.35">
      <c r="A17" s="21" t="s">
        <v>63</v>
      </c>
      <c r="B17" s="33"/>
    </row>
    <row r="18" spans="1:7" x14ac:dyDescent="0.35">
      <c r="A18" s="15" t="s">
        <v>97</v>
      </c>
      <c r="B18" s="33">
        <f>(B10*2)+(B11*10)</f>
        <v>48</v>
      </c>
      <c r="C18" t="s">
        <v>98</v>
      </c>
    </row>
    <row r="19" spans="1:7" x14ac:dyDescent="0.35">
      <c r="A19" s="15" t="s">
        <v>99</v>
      </c>
      <c r="B19" s="33">
        <f>B18*B9</f>
        <v>4800</v>
      </c>
    </row>
    <row r="20" spans="1:7" x14ac:dyDescent="0.35">
      <c r="A20" s="15" t="s">
        <v>100</v>
      </c>
      <c r="B20" s="34">
        <f>B19*B12</f>
        <v>144000</v>
      </c>
      <c r="C20" s="1"/>
      <c r="D20" s="1"/>
    </row>
    <row r="21" spans="1:7" x14ac:dyDescent="0.35">
      <c r="A21" s="15" t="s">
        <v>101</v>
      </c>
      <c r="B21" s="35" t="s">
        <v>102</v>
      </c>
      <c r="C21" s="1" t="s">
        <v>102</v>
      </c>
      <c r="D21" s="1"/>
    </row>
    <row r="22" spans="1:7" x14ac:dyDescent="0.35">
      <c r="B22" s="13"/>
      <c r="C22" s="1"/>
      <c r="D22" s="1"/>
    </row>
    <row r="23" spans="1:7" x14ac:dyDescent="0.35">
      <c r="A23" s="15" t="s">
        <v>103</v>
      </c>
      <c r="B23" s="2"/>
      <c r="C23" s="2"/>
      <c r="D23" s="2"/>
      <c r="E23" s="2"/>
      <c r="F23" s="2"/>
      <c r="G23" s="2"/>
    </row>
    <row r="24" spans="1:7" x14ac:dyDescent="0.35">
      <c r="A24" s="11" t="s">
        <v>69</v>
      </c>
      <c r="B24" s="27" t="s">
        <v>34</v>
      </c>
      <c r="C24" s="27" t="s">
        <v>35</v>
      </c>
      <c r="D24" s="2"/>
      <c r="E24" s="28" t="s">
        <v>32</v>
      </c>
      <c r="F24" s="28" t="s">
        <v>34</v>
      </c>
      <c r="G24" s="2"/>
    </row>
    <row r="25" spans="1:7" x14ac:dyDescent="0.35">
      <c r="A25" s="15" t="s">
        <v>7</v>
      </c>
      <c r="B25" s="13">
        <f>B20*'Key Licensing Rules'!$D$5</f>
        <v>1440</v>
      </c>
      <c r="C25" s="13">
        <f>B25*12</f>
        <v>17280</v>
      </c>
      <c r="D25" s="2"/>
      <c r="E25" s="2" t="s">
        <v>39</v>
      </c>
      <c r="F25" s="13">
        <f>B25</f>
        <v>1440</v>
      </c>
      <c r="G25" s="2"/>
    </row>
    <row r="26" spans="1:7" x14ac:dyDescent="0.35">
      <c r="A26" s="15" t="s">
        <v>40</v>
      </c>
      <c r="B26" s="13">
        <f>IF(B20&lt;25000, B20*('Key Licensing Rules'!$D$6/25000), CEILING(B20/25000,1)*'Key Licensing Rules'!$D$6)</f>
        <v>960</v>
      </c>
      <c r="C26" s="13">
        <f>B26*12</f>
        <v>11520</v>
      </c>
      <c r="D26" s="2"/>
      <c r="E26" s="2" t="s">
        <v>40</v>
      </c>
      <c r="F26" s="13">
        <f>B26</f>
        <v>960</v>
      </c>
      <c r="G26" s="2"/>
    </row>
    <row r="27" spans="1:7" x14ac:dyDescent="0.35">
      <c r="A27" s="15" t="s">
        <v>41</v>
      </c>
      <c r="B27" s="13">
        <f>B20*'Key Licensing Rules'!$D$7</f>
        <v>1368</v>
      </c>
      <c r="C27" s="13">
        <f>B27*12</f>
        <v>16416</v>
      </c>
      <c r="D27" s="2"/>
      <c r="E27" s="2" t="s">
        <v>41</v>
      </c>
      <c r="F27" s="13">
        <f>B27</f>
        <v>1368</v>
      </c>
      <c r="G27" s="2"/>
    </row>
    <row r="28" spans="1:7" x14ac:dyDescent="0.35">
      <c r="A28" s="15" t="s">
        <v>43</v>
      </c>
      <c r="B28" s="13">
        <f>IF(B20&lt;25000, MIN(B20*'Key Licensing Rules'!$D$5, B20*('Key Licensing Rules'!$D$6/25000)), QUOTIENT(B20,25000)*'Key Licensing Rules'!$D$6 + MOD(B20,25000)*'Key Licensing Rules'!$D$5)</f>
        <v>990</v>
      </c>
      <c r="C28" s="13">
        <f>B28*12</f>
        <v>11880</v>
      </c>
      <c r="D28" s="2"/>
      <c r="E28" s="2" t="s">
        <v>45</v>
      </c>
      <c r="F28" s="13">
        <f>B28</f>
        <v>990</v>
      </c>
      <c r="G28" s="2"/>
    </row>
    <row r="29" spans="1:7" x14ac:dyDescent="0.35">
      <c r="A29" s="15" t="s">
        <v>13</v>
      </c>
      <c r="B29" s="13">
        <f>IF(B20&lt;25000, MIN(B20*'Key Licensing Rules'!$D$7, B20*('Key Licensing Rules'!$D$6/25000)), QUOTIENT(B20,25000)*'Key Licensing Rules'!$D$6 + MOD(B20,25000)*'Key Licensing Rules'!$D$7)</f>
        <v>980.5</v>
      </c>
      <c r="C29" s="13">
        <f>B29*12</f>
        <v>11766</v>
      </c>
      <c r="D29" s="2"/>
      <c r="E29" s="2" t="s">
        <v>47</v>
      </c>
      <c r="F29" s="13">
        <f>B29</f>
        <v>980.5</v>
      </c>
      <c r="G29" s="2"/>
    </row>
    <row r="30" spans="1:7" x14ac:dyDescent="0.35">
      <c r="B30" s="2"/>
      <c r="C30" s="2"/>
      <c r="D30" s="2"/>
      <c r="E30" s="2"/>
      <c r="F30" s="2"/>
      <c r="G30" s="2"/>
    </row>
    <row r="31" spans="1:7" x14ac:dyDescent="0.35">
      <c r="A31" s="15" t="s">
        <v>71</v>
      </c>
      <c r="B31" s="2"/>
      <c r="C31" s="2"/>
      <c r="D31" s="2"/>
      <c r="E31" s="2"/>
      <c r="F31" s="2"/>
      <c r="G31" s="2"/>
    </row>
    <row r="32" spans="1:7" x14ac:dyDescent="0.35">
      <c r="A32" s="17" t="s">
        <v>71</v>
      </c>
      <c r="B32" s="2" t="str">
        <f>"Monthly: "&amp;TEXT(MIN(B25:B29),"[$$-en-US]#,##0.00")&amp;" | Annual: "&amp;TEXT(MIN(B25:B29)*12,"[$$-en-US]#,##0.00")</f>
        <v>Monthly: $960.00 | Annual: $11,520.00</v>
      </c>
      <c r="C32" s="2"/>
      <c r="D32" s="2"/>
      <c r="E32" s="2"/>
      <c r="F32" s="2"/>
      <c r="G32" s="2"/>
    </row>
    <row r="33" spans="1:7" x14ac:dyDescent="0.35">
      <c r="A33" t="str">
        <f>INDEX(A25:A29,MATCH(MIN(B25:B29),B25:B29,0))&amp;" is cheapest"</f>
        <v>Capacity Packs is cheapest</v>
      </c>
      <c r="B33" s="2" t="str">
        <f>"Monthly: "&amp;TEXT(MIN(B25:B29),"[$$-en-US]#,##0.00")&amp;" | Annual: "&amp;TEXT(MIN(B25:B29)*12,"[$$-en-US]#,##0.00")</f>
        <v>Monthly: $960.00 | Annual: $11,520.00</v>
      </c>
      <c r="C33" s="2"/>
      <c r="D33" s="2"/>
      <c r="E33" s="2"/>
      <c r="F33" s="2"/>
      <c r="G33" s="2"/>
    </row>
    <row r="34" spans="1:7" x14ac:dyDescent="0.35">
      <c r="B34" s="2"/>
      <c r="C34" s="2"/>
      <c r="D34" s="2"/>
      <c r="E34" s="2"/>
      <c r="F34" s="2"/>
      <c r="G34" s="2"/>
    </row>
    <row r="35" spans="1:7" x14ac:dyDescent="0.35">
      <c r="B35" s="2"/>
      <c r="C35" s="2"/>
      <c r="D35" s="2"/>
      <c r="E35" s="2"/>
      <c r="F35" s="2"/>
      <c r="G35" s="2"/>
    </row>
    <row r="36" spans="1:7" x14ac:dyDescent="0.35">
      <c r="B36" s="2"/>
      <c r="C36" s="2"/>
      <c r="D36" s="2"/>
      <c r="E36" s="2"/>
      <c r="F36" s="2"/>
    </row>
  </sheetData>
  <sheetProtection algorithmName="SHA-512" hashValue="ibHA4WQUY13mKGdD3eOfC97WSCW5K9wALHqwFItmDscVTIHHIcvxSYRBPW0Sq53qPFgUPWyWA2g+4ghNMWWyHg==" saltValue="ownr5mKU5ItV/KcXLBJVlw==" spinCount="100000" sheet="1" objects="1" scenarios="1"/>
  <dataValidations disablePrompts="1" count="1">
    <dataValidation type="decimal" allowBlank="1" showInputMessage="1" showErrorMessage="1" errorTitle="Invalid Entry" error="Please enter a positive number only." promptTitle="Input Required" prompt="Enter a positive number" sqref="B8:B12" xr:uid="{43D32B9C-525F-467D-BF41-46489CD5CF75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34B4-45CD-452D-BC6C-AB0C523E4198}">
  <sheetPr codeName="Sheet6"/>
  <dimension ref="A1:G36"/>
  <sheetViews>
    <sheetView topLeftCell="A4" workbookViewId="0">
      <selection activeCell="B28" sqref="B28"/>
    </sheetView>
  </sheetViews>
  <sheetFormatPr defaultRowHeight="14.5" x14ac:dyDescent="0.35"/>
  <cols>
    <col min="1" max="1" width="93.7265625" bestFit="1" customWidth="1"/>
    <col min="2" max="2" width="12.7265625" bestFit="1" customWidth="1"/>
    <col min="3" max="3" width="16.26953125" bestFit="1" customWidth="1"/>
  </cols>
  <sheetData>
    <row r="1" spans="1:4" ht="18.5" x14ac:dyDescent="0.45">
      <c r="A1" s="18" t="s">
        <v>104</v>
      </c>
    </row>
    <row r="3" spans="1:4" x14ac:dyDescent="0.35">
      <c r="A3" s="19" t="s">
        <v>105</v>
      </c>
    </row>
    <row r="5" spans="1:4" x14ac:dyDescent="0.35">
      <c r="A5" s="20" t="s">
        <v>106</v>
      </c>
    </row>
    <row r="7" spans="1:4" x14ac:dyDescent="0.35">
      <c r="A7" s="21" t="s">
        <v>52</v>
      </c>
      <c r="D7" s="22" t="s">
        <v>53</v>
      </c>
    </row>
    <row r="8" spans="1:4" x14ac:dyDescent="0.35">
      <c r="A8" s="15" t="s">
        <v>107</v>
      </c>
      <c r="B8" s="4">
        <v>5000</v>
      </c>
    </row>
    <row r="9" spans="1:4" x14ac:dyDescent="0.35">
      <c r="A9" s="15" t="s">
        <v>108</v>
      </c>
      <c r="B9" s="4">
        <v>20</v>
      </c>
    </row>
    <row r="10" spans="1:4" x14ac:dyDescent="0.35">
      <c r="A10" s="15" t="s">
        <v>109</v>
      </c>
      <c r="B10" s="4">
        <v>2</v>
      </c>
    </row>
    <row r="11" spans="1:4" x14ac:dyDescent="0.35">
      <c r="A11" s="15" t="s">
        <v>57</v>
      </c>
      <c r="B11" s="4" t="s">
        <v>58</v>
      </c>
    </row>
    <row r="12" spans="1:4" x14ac:dyDescent="0.35">
      <c r="A12" s="15" t="s">
        <v>59</v>
      </c>
      <c r="B12" s="23">
        <f>'Key Licensing Rules'!$D$5</f>
        <v>0.01</v>
      </c>
      <c r="C12" s="24" t="s">
        <v>77</v>
      </c>
    </row>
    <row r="13" spans="1:4" x14ac:dyDescent="0.35">
      <c r="A13" s="15" t="s">
        <v>61</v>
      </c>
      <c r="B13" s="25">
        <f>'Key Licensing Rules'!$D$6</f>
        <v>160</v>
      </c>
      <c r="C13" s="24" t="s">
        <v>77</v>
      </c>
    </row>
    <row r="14" spans="1:4" x14ac:dyDescent="0.35">
      <c r="A14" s="15" t="s">
        <v>62</v>
      </c>
      <c r="B14" s="26">
        <v>25000</v>
      </c>
    </row>
    <row r="15" spans="1:4" x14ac:dyDescent="0.35">
      <c r="B15" s="2"/>
    </row>
    <row r="16" spans="1:4" x14ac:dyDescent="0.35">
      <c r="A16" s="21" t="s">
        <v>63</v>
      </c>
      <c r="B16" s="2"/>
    </row>
    <row r="17" spans="1:7" x14ac:dyDescent="0.35">
      <c r="A17" s="15" t="s">
        <v>110</v>
      </c>
      <c r="B17" s="2">
        <f>(B9/100)*13</f>
        <v>2.6</v>
      </c>
      <c r="C17" t="s">
        <v>111</v>
      </c>
    </row>
    <row r="18" spans="1:7" x14ac:dyDescent="0.35">
      <c r="A18" s="15" t="s">
        <v>112</v>
      </c>
      <c r="B18" s="2">
        <f>B10*5</f>
        <v>10</v>
      </c>
    </row>
    <row r="19" spans="1:7" x14ac:dyDescent="0.35">
      <c r="A19" s="15" t="s">
        <v>113</v>
      </c>
      <c r="B19" s="2">
        <f>B17+B18</f>
        <v>12.6</v>
      </c>
    </row>
    <row r="20" spans="1:7" x14ac:dyDescent="0.35">
      <c r="A20" s="15" t="s">
        <v>114</v>
      </c>
      <c r="B20" s="14">
        <f>B19*B8</f>
        <v>63000</v>
      </c>
      <c r="C20" s="1"/>
      <c r="D20" s="1"/>
    </row>
    <row r="21" spans="1:7" x14ac:dyDescent="0.35">
      <c r="A21" s="15" t="s">
        <v>66</v>
      </c>
      <c r="B21" s="13" t="str">
        <f>IF(UPPER(B11)="LICENSED","Yes","No")</f>
        <v>No</v>
      </c>
      <c r="C21" s="1"/>
      <c r="D21" s="1"/>
    </row>
    <row r="22" spans="1:7" x14ac:dyDescent="0.35">
      <c r="A22" s="15" t="s">
        <v>67</v>
      </c>
      <c r="B22" s="14">
        <f>IF(B21="Yes",0,B20)</f>
        <v>63000</v>
      </c>
      <c r="C22" s="1"/>
      <c r="D22" s="1"/>
    </row>
    <row r="23" spans="1:7" x14ac:dyDescent="0.35">
      <c r="B23" s="13"/>
      <c r="C23" s="13"/>
      <c r="D23" s="13"/>
      <c r="E23" s="2"/>
      <c r="F23" s="2"/>
      <c r="G23" s="2"/>
    </row>
    <row r="24" spans="1:7" x14ac:dyDescent="0.35">
      <c r="A24" s="15" t="s">
        <v>68</v>
      </c>
      <c r="B24" s="2"/>
      <c r="C24" s="2"/>
      <c r="D24" s="2"/>
      <c r="E24" s="2"/>
      <c r="F24" s="2"/>
      <c r="G24" s="2"/>
    </row>
    <row r="25" spans="1:7" x14ac:dyDescent="0.35">
      <c r="A25" s="11" t="s">
        <v>69</v>
      </c>
      <c r="B25" s="27" t="s">
        <v>34</v>
      </c>
      <c r="C25" s="27" t="s">
        <v>35</v>
      </c>
      <c r="D25" s="2"/>
      <c r="E25" s="28" t="s">
        <v>32</v>
      </c>
      <c r="F25" s="28" t="s">
        <v>34</v>
      </c>
      <c r="G25" s="2"/>
    </row>
    <row r="26" spans="1:7" x14ac:dyDescent="0.35">
      <c r="A26" s="15" t="s">
        <v>7</v>
      </c>
      <c r="B26" s="13">
        <f>B22*'Key Licensing Rules'!$D$5</f>
        <v>630</v>
      </c>
      <c r="C26" s="13">
        <f>B26*12</f>
        <v>7560</v>
      </c>
      <c r="D26" s="2"/>
      <c r="E26" s="2" t="s">
        <v>39</v>
      </c>
      <c r="F26" s="13">
        <f>B26</f>
        <v>630</v>
      </c>
      <c r="G26" s="2"/>
    </row>
    <row r="27" spans="1:7" x14ac:dyDescent="0.35">
      <c r="A27" s="15" t="s">
        <v>40</v>
      </c>
      <c r="B27" s="13">
        <f>IF(B22&lt;25000, B22*('Key Licensing Rules'!$D$6/25000), CEILING(B22/25000,1)*'Key Licensing Rules'!$D$6)</f>
        <v>480</v>
      </c>
      <c r="C27" s="13">
        <f>B27*12</f>
        <v>5760</v>
      </c>
      <c r="D27" s="2"/>
      <c r="E27" s="2" t="s">
        <v>40</v>
      </c>
      <c r="F27" s="13">
        <f>B27</f>
        <v>480</v>
      </c>
      <c r="G27" s="2"/>
    </row>
    <row r="28" spans="1:7" x14ac:dyDescent="0.35">
      <c r="A28" s="15" t="s">
        <v>41</v>
      </c>
      <c r="B28" s="13">
        <f>B22*'Key Licensing Rules'!$D$7</f>
        <v>598.5</v>
      </c>
      <c r="C28" s="13">
        <f>B28*12</f>
        <v>7182</v>
      </c>
      <c r="D28" s="2"/>
      <c r="E28" s="2" t="s">
        <v>41</v>
      </c>
      <c r="F28" s="13">
        <f>B28</f>
        <v>598.5</v>
      </c>
      <c r="G28" s="2"/>
    </row>
    <row r="29" spans="1:7" x14ac:dyDescent="0.35">
      <c r="A29" s="15" t="s">
        <v>43</v>
      </c>
      <c r="B29" s="13">
        <f>IF(B22&lt;25000, MIN(B22*'Key Licensing Rules'!$D$5, B22*('Key Licensing Rules'!$D$6/25000)), QUOTIENT(B22,25000)*'Key Licensing Rules'!$D$6 + MOD(B22,25000)*'Key Licensing Rules'!$D$5)</f>
        <v>450</v>
      </c>
      <c r="C29" s="13">
        <f>B29*12</f>
        <v>5400</v>
      </c>
      <c r="D29" s="2"/>
      <c r="E29" s="2" t="s">
        <v>45</v>
      </c>
      <c r="F29" s="13">
        <f>B29</f>
        <v>450</v>
      </c>
      <c r="G29" s="2"/>
    </row>
    <row r="30" spans="1:7" x14ac:dyDescent="0.35">
      <c r="A30" s="15" t="s">
        <v>13</v>
      </c>
      <c r="B30" s="13">
        <f>IF(B22&lt;25000, MIN(B22*'Key Licensing Rules'!$D$7, B22*('Key Licensing Rules'!$D$6/25000)), QUOTIENT(B22,25000)*'Key Licensing Rules'!$D$6 + MOD(B22,25000)*'Key Licensing Rules'!$D$7)</f>
        <v>443.5</v>
      </c>
      <c r="C30" s="13">
        <f>B30*12</f>
        <v>5322</v>
      </c>
      <c r="D30" s="2"/>
      <c r="E30" s="2" t="s">
        <v>47</v>
      </c>
      <c r="F30" s="13">
        <f>B30</f>
        <v>443.5</v>
      </c>
      <c r="G30" s="2"/>
    </row>
    <row r="31" spans="1:7" x14ac:dyDescent="0.35">
      <c r="B31" s="2"/>
      <c r="C31" s="2"/>
      <c r="D31" s="2"/>
      <c r="E31" s="2"/>
      <c r="F31" s="2"/>
      <c r="G31" s="2"/>
    </row>
    <row r="32" spans="1:7" x14ac:dyDescent="0.35">
      <c r="A32" s="15" t="s">
        <v>71</v>
      </c>
      <c r="B32" s="2"/>
      <c r="C32" s="2"/>
      <c r="D32" s="2"/>
      <c r="E32" s="2"/>
      <c r="F32" s="2"/>
      <c r="G32" s="2"/>
    </row>
    <row r="33" spans="1:7" x14ac:dyDescent="0.35">
      <c r="A33" s="17" t="s">
        <v>71</v>
      </c>
      <c r="B33" s="2" t="str">
        <f>"Monthly: "&amp;TEXT(MIN(B26:B30),"[$$-en-US]#,##0.00")&amp;" | Annual: "&amp;TEXT(MIN(B26:B30)*12,"[$$-en-US]#,##0.00")</f>
        <v>Monthly: $443.50 | Annual: $5,322.00</v>
      </c>
      <c r="C33" s="2"/>
      <c r="D33" s="2"/>
      <c r="E33" s="2"/>
      <c r="F33" s="2"/>
      <c r="G33" s="2"/>
    </row>
    <row r="34" spans="1:7" x14ac:dyDescent="0.35">
      <c r="A34" t="str">
        <f>INDEX(A26:A30,MATCH(MIN(B26:B30),B26:B30,0))&amp;" is cheapest"</f>
        <v>Hybrid (CP + P3) is cheapest</v>
      </c>
      <c r="B34" s="2" t="str">
        <f>"Monthly: "&amp;TEXT(MIN(B26:B30),"[$$-en-US]#,##0.00")&amp;" | Annual: "&amp;TEXT(MIN(B26:B30)*12,"[$$-en-US]#,##0.00")</f>
        <v>Monthly: $443.50 | Annual: $5,322.00</v>
      </c>
      <c r="C34" s="2"/>
      <c r="D34" s="2"/>
      <c r="E34" s="2"/>
      <c r="F34" s="2"/>
      <c r="G34" s="2"/>
    </row>
    <row r="35" spans="1:7" x14ac:dyDescent="0.35">
      <c r="B35" s="2"/>
      <c r="C35" s="2"/>
      <c r="D35" s="2"/>
      <c r="E35" s="2"/>
      <c r="F35" s="2"/>
      <c r="G35" s="2"/>
    </row>
    <row r="36" spans="1:7" x14ac:dyDescent="0.35">
      <c r="B36" s="2"/>
      <c r="C36" s="2"/>
      <c r="D36" s="2"/>
      <c r="E36" s="2"/>
      <c r="F36" s="2"/>
    </row>
  </sheetData>
  <sheetProtection algorithmName="SHA-512" hashValue="t5Y6zBqWxFT12GgCYxXuF3dMkgNbvpbZKQNAxb/eDRxar6IeMw6BUuq0r7UN3rKjPk7uq9tioRqMQOTuEmEVuQ==" saltValue="QnsRwIrKtgt/s7PHb1Q9Hg==" spinCount="100000" sheet="1" objects="1" scenarios="1"/>
  <dataValidations disablePrompts="1" count="1">
    <dataValidation type="decimal" allowBlank="1" showInputMessage="1" showErrorMessage="1" errorTitle="Invalid Entry" error="Please enter a positive number only." promptTitle="Input Required" prompt="Enter a positive number" sqref="B8:B10" xr:uid="{49FB10F4-F120-4B5B-95DE-5371933492A8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23E0-FE1B-47F7-9FE5-E0FCED5A78B1}">
  <sheetPr codeName="Sheet7"/>
  <dimension ref="A1:G37"/>
  <sheetViews>
    <sheetView topLeftCell="A3" workbookViewId="0">
      <selection activeCell="B22" sqref="B22"/>
    </sheetView>
  </sheetViews>
  <sheetFormatPr defaultRowHeight="14.5" x14ac:dyDescent="0.35"/>
  <cols>
    <col min="1" max="1" width="105.1796875" bestFit="1" customWidth="1"/>
    <col min="2" max="2" width="12.7265625" bestFit="1" customWidth="1"/>
    <col min="3" max="3" width="12.26953125" bestFit="1" customWidth="1"/>
  </cols>
  <sheetData>
    <row r="1" spans="1:4" ht="18.5" x14ac:dyDescent="0.45">
      <c r="A1" s="18" t="s">
        <v>115</v>
      </c>
    </row>
    <row r="3" spans="1:4" x14ac:dyDescent="0.35">
      <c r="A3" s="19" t="s">
        <v>116</v>
      </c>
    </row>
    <row r="5" spans="1:4" x14ac:dyDescent="0.35">
      <c r="A5" s="36" t="s">
        <v>117</v>
      </c>
    </row>
    <row r="7" spans="1:4" x14ac:dyDescent="0.35">
      <c r="A7" s="21" t="s">
        <v>52</v>
      </c>
      <c r="D7" s="22" t="s">
        <v>53</v>
      </c>
    </row>
    <row r="8" spans="1:4" x14ac:dyDescent="0.35">
      <c r="A8" s="15" t="s">
        <v>118</v>
      </c>
      <c r="B8" s="4">
        <v>800</v>
      </c>
    </row>
    <row r="9" spans="1:4" x14ac:dyDescent="0.35">
      <c r="A9" s="15" t="s">
        <v>119</v>
      </c>
      <c r="B9" s="4">
        <v>0</v>
      </c>
    </row>
    <row r="10" spans="1:4" x14ac:dyDescent="0.35">
      <c r="A10" s="15" t="s">
        <v>120</v>
      </c>
      <c r="B10" s="4">
        <v>1</v>
      </c>
    </row>
    <row r="11" spans="1:4" x14ac:dyDescent="0.35">
      <c r="A11" s="15" t="s">
        <v>109</v>
      </c>
      <c r="B11" s="4">
        <v>3</v>
      </c>
    </row>
    <row r="12" spans="1:4" x14ac:dyDescent="0.35">
      <c r="A12" s="15" t="s">
        <v>59</v>
      </c>
      <c r="B12" s="23">
        <f>'Key Licensing Rules'!$D$5</f>
        <v>0.01</v>
      </c>
      <c r="C12" s="24" t="s">
        <v>77</v>
      </c>
    </row>
    <row r="13" spans="1:4" x14ac:dyDescent="0.35">
      <c r="A13" s="15" t="s">
        <v>61</v>
      </c>
      <c r="B13" s="25">
        <f>'Key Licensing Rules'!$D$6</f>
        <v>160</v>
      </c>
      <c r="C13" s="24" t="s">
        <v>77</v>
      </c>
    </row>
    <row r="14" spans="1:4" x14ac:dyDescent="0.35">
      <c r="A14" s="15" t="s">
        <v>62</v>
      </c>
      <c r="B14" s="26">
        <v>25000</v>
      </c>
    </row>
    <row r="15" spans="1:4" x14ac:dyDescent="0.35">
      <c r="B15" s="2"/>
    </row>
    <row r="16" spans="1:4" x14ac:dyDescent="0.35">
      <c r="A16" s="21" t="s">
        <v>121</v>
      </c>
      <c r="B16" s="2"/>
    </row>
    <row r="17" spans="1:7" x14ac:dyDescent="0.35">
      <c r="A17" s="15" t="s">
        <v>122</v>
      </c>
      <c r="B17" s="37">
        <v>25</v>
      </c>
      <c r="C17" t="s">
        <v>123</v>
      </c>
    </row>
    <row r="18" spans="1:7" x14ac:dyDescent="0.35">
      <c r="A18" s="15" t="s">
        <v>124</v>
      </c>
      <c r="B18" s="2">
        <f>B9*8</f>
        <v>0</v>
      </c>
      <c r="C18" t="s">
        <v>125</v>
      </c>
    </row>
    <row r="19" spans="1:7" x14ac:dyDescent="0.35">
      <c r="A19" s="15" t="s">
        <v>126</v>
      </c>
      <c r="B19" s="2">
        <f>B10*2</f>
        <v>2</v>
      </c>
      <c r="C19" t="s">
        <v>127</v>
      </c>
    </row>
    <row r="20" spans="1:7" x14ac:dyDescent="0.35">
      <c r="A20" s="15" t="s">
        <v>128</v>
      </c>
      <c r="B20" s="14">
        <f>B11*5</f>
        <v>15</v>
      </c>
      <c r="C20" s="1" t="s">
        <v>129</v>
      </c>
      <c r="D20" s="1"/>
    </row>
    <row r="21" spans="1:7" x14ac:dyDescent="0.35">
      <c r="A21" s="15" t="s">
        <v>113</v>
      </c>
      <c r="B21" s="38">
        <f>B17+B18+B19+B20</f>
        <v>42</v>
      </c>
      <c r="C21" s="1"/>
      <c r="D21" s="1"/>
    </row>
    <row r="22" spans="1:7" x14ac:dyDescent="0.35">
      <c r="A22" s="15" t="s">
        <v>114</v>
      </c>
      <c r="B22" s="38">
        <f>B21*B8</f>
        <v>33600</v>
      </c>
      <c r="C22" s="1"/>
      <c r="D22" s="1"/>
    </row>
    <row r="23" spans="1:7" x14ac:dyDescent="0.35">
      <c r="B23" s="13"/>
      <c r="C23" s="13"/>
      <c r="D23" s="13"/>
      <c r="E23" s="2"/>
      <c r="F23" s="2"/>
      <c r="G23" s="2"/>
    </row>
    <row r="24" spans="1:7" x14ac:dyDescent="0.35">
      <c r="A24" s="15" t="s">
        <v>68</v>
      </c>
      <c r="B24" s="2"/>
      <c r="C24" s="2"/>
      <c r="D24" s="2"/>
      <c r="E24" s="2"/>
      <c r="F24" s="2"/>
      <c r="G24" s="2"/>
    </row>
    <row r="25" spans="1:7" x14ac:dyDescent="0.35">
      <c r="A25" s="11" t="s">
        <v>69</v>
      </c>
      <c r="B25" s="27" t="s">
        <v>34</v>
      </c>
      <c r="C25" s="27" t="s">
        <v>35</v>
      </c>
      <c r="D25" s="2"/>
      <c r="E25" s="28" t="s">
        <v>32</v>
      </c>
      <c r="F25" s="28" t="s">
        <v>34</v>
      </c>
      <c r="G25" s="2"/>
    </row>
    <row r="26" spans="1:7" x14ac:dyDescent="0.35">
      <c r="A26" s="15" t="s">
        <v>7</v>
      </c>
      <c r="B26" s="13">
        <f>B22*'Key Licensing Rules'!$D$5</f>
        <v>336</v>
      </c>
      <c r="C26" s="13">
        <f>B26*12</f>
        <v>4032</v>
      </c>
      <c r="D26" s="2"/>
      <c r="E26" s="2" t="s">
        <v>39</v>
      </c>
      <c r="F26" s="13">
        <f>B26</f>
        <v>336</v>
      </c>
      <c r="G26" s="2"/>
    </row>
    <row r="27" spans="1:7" x14ac:dyDescent="0.35">
      <c r="A27" s="15" t="s">
        <v>40</v>
      </c>
      <c r="B27" s="13">
        <f>IF(B22&lt;25000, B22*('Key Licensing Rules'!$D$6/25000), CEILING(B22/25000,1)*'Key Licensing Rules'!$D$6)</f>
        <v>320</v>
      </c>
      <c r="C27" s="13">
        <f>B27*12</f>
        <v>3840</v>
      </c>
      <c r="D27" s="2"/>
      <c r="E27" s="2" t="s">
        <v>40</v>
      </c>
      <c r="F27" s="13">
        <f>B27</f>
        <v>320</v>
      </c>
      <c r="G27" s="2"/>
    </row>
    <row r="28" spans="1:7" x14ac:dyDescent="0.35">
      <c r="A28" s="15" t="s">
        <v>41</v>
      </c>
      <c r="B28" s="13">
        <f>B22*'Key Licensing Rules'!$D$7</f>
        <v>319.2</v>
      </c>
      <c r="C28" s="13">
        <f>B28*12</f>
        <v>3830.3999999999996</v>
      </c>
      <c r="D28" s="2"/>
      <c r="E28" s="2" t="s">
        <v>41</v>
      </c>
      <c r="F28" s="13">
        <f>B28</f>
        <v>319.2</v>
      </c>
      <c r="G28" s="2"/>
    </row>
    <row r="29" spans="1:7" x14ac:dyDescent="0.35">
      <c r="A29" s="15" t="s">
        <v>43</v>
      </c>
      <c r="B29" s="13">
        <f>IF(B22&lt;25000, MIN(B22*'Key Licensing Rules'!$D$5, B22*('Key Licensing Rules'!$D$6/25000)), QUOTIENT(B22,25000)*'Key Licensing Rules'!$D$6 + MOD(B22,25000)*'Key Licensing Rules'!$D$5)</f>
        <v>246</v>
      </c>
      <c r="C29" s="13">
        <f>B29*12</f>
        <v>2952</v>
      </c>
      <c r="D29" s="2"/>
      <c r="E29" s="2" t="s">
        <v>45</v>
      </c>
      <c r="F29" s="13">
        <f>B29</f>
        <v>246</v>
      </c>
      <c r="G29" s="2"/>
    </row>
    <row r="30" spans="1:7" x14ac:dyDescent="0.35">
      <c r="A30" s="15" t="s">
        <v>13</v>
      </c>
      <c r="B30" s="13">
        <f>IF(B22&lt;25000, MIN(B22*'Key Licensing Rules'!$D$7, B22*('Key Licensing Rules'!$D$6/25000)), QUOTIENT(B22,25000)*'Key Licensing Rules'!$D$6 + MOD(B22,25000)*'Key Licensing Rules'!$D$7)</f>
        <v>241.7</v>
      </c>
      <c r="C30" s="13">
        <f>B30*12</f>
        <v>2900.3999999999996</v>
      </c>
      <c r="D30" s="2"/>
      <c r="E30" s="2" t="s">
        <v>47</v>
      </c>
      <c r="F30" s="13">
        <f>B30</f>
        <v>241.7</v>
      </c>
      <c r="G30" s="2"/>
    </row>
    <row r="31" spans="1:7" x14ac:dyDescent="0.35">
      <c r="B31" s="2"/>
      <c r="C31" s="2"/>
      <c r="D31" s="2"/>
      <c r="E31" s="2"/>
      <c r="F31" s="2"/>
      <c r="G31" s="2"/>
    </row>
    <row r="32" spans="1:7" x14ac:dyDescent="0.35">
      <c r="A32" s="15" t="s">
        <v>130</v>
      </c>
      <c r="B32" s="2"/>
      <c r="C32" s="2"/>
      <c r="D32" s="2"/>
      <c r="E32" s="2"/>
      <c r="F32" s="2"/>
      <c r="G32" s="2"/>
    </row>
    <row r="33" spans="1:7" x14ac:dyDescent="0.35">
      <c r="A33" s="15" t="s">
        <v>131</v>
      </c>
      <c r="B33" s="2"/>
      <c r="C33" s="2"/>
      <c r="D33" s="2"/>
      <c r="E33" s="2"/>
      <c r="F33" s="2"/>
      <c r="G33" s="2"/>
    </row>
    <row r="34" spans="1:7" x14ac:dyDescent="0.35">
      <c r="B34" s="2"/>
      <c r="C34" s="2"/>
      <c r="D34" s="2"/>
      <c r="E34" s="2"/>
      <c r="F34" s="2"/>
      <c r="G34" s="2"/>
    </row>
    <row r="35" spans="1:7" x14ac:dyDescent="0.35">
      <c r="A35" s="15" t="s">
        <v>71</v>
      </c>
      <c r="B35" s="2"/>
      <c r="C35" s="2"/>
      <c r="D35" s="2"/>
      <c r="E35" s="2"/>
      <c r="F35" s="2"/>
      <c r="G35" s="2"/>
    </row>
    <row r="36" spans="1:7" x14ac:dyDescent="0.35">
      <c r="A36" s="17" t="s">
        <v>71</v>
      </c>
      <c r="B36" s="2" t="str">
        <f>"Monthly: "&amp;TEXT(MIN(B26:B30),"[$$-en-US]#,##0.00")&amp;" | Annual: "&amp;TEXT(MIN(B26:B30)*12,"[$$-en-US]#,##0.00")</f>
        <v>Monthly: $241.70 | Annual: $2,900.40</v>
      </c>
      <c r="C36" s="2"/>
      <c r="D36" s="2"/>
      <c r="E36" s="2"/>
      <c r="F36" s="2"/>
    </row>
    <row r="37" spans="1:7" x14ac:dyDescent="0.35">
      <c r="A37" t="str">
        <f>INDEX(A26:A30,MATCH(MIN(B26:B30),B26:B30,0))&amp;" is cheapest"</f>
        <v>Hybrid (CP + P3) is cheapest</v>
      </c>
      <c r="B37" t="str">
        <f>"Monthly: "&amp;TEXT(MIN(B26:B30),"[$$-en-US]#,##0.00")&amp;" | Annual: "&amp;TEXT(MIN(B26:B30)*12,"[$$-en-US]#,##0.00")</f>
        <v>Monthly: $241.70 | Annual: $2,900.40</v>
      </c>
    </row>
  </sheetData>
  <sheetProtection algorithmName="SHA-512" hashValue="OFCBGBfX6SqybRfb41RJ2LvsfQMActuEZZKpHJ3No6wPdQFoCmJQD5aldSdeJQa91RIIwCLNYAzfGxq/PQHm/Q==" saltValue="SK/QDCcCW9kkLnwkcQwV/w==" spinCount="100000" sheet="1" objects="1" scenarios="1"/>
  <dataValidations count="1">
    <dataValidation type="decimal" allowBlank="1" showInputMessage="1" showErrorMessage="1" errorTitle="Invalid Entry" error="Please enter a positive number only." promptTitle="Input Required" prompt="Enter a positive number" sqref="B8:B11" xr:uid="{B206EA52-4DB6-422A-A71F-1BAC263F7AD5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6B4D-AB78-4091-A080-A94B29246AAA}">
  <sheetPr codeName="Sheet8"/>
  <dimension ref="A1:G36"/>
  <sheetViews>
    <sheetView workbookViewId="0"/>
  </sheetViews>
  <sheetFormatPr defaultRowHeight="14.5" x14ac:dyDescent="0.35"/>
  <cols>
    <col min="1" max="1" width="65.7265625" bestFit="1" customWidth="1"/>
    <col min="2" max="2" width="23.26953125" bestFit="1" customWidth="1"/>
    <col min="3" max="3" width="54.81640625" bestFit="1" customWidth="1"/>
  </cols>
  <sheetData>
    <row r="1" spans="1:4" ht="18.5" x14ac:dyDescent="0.45">
      <c r="A1" s="18" t="s">
        <v>132</v>
      </c>
    </row>
    <row r="3" spans="1:4" x14ac:dyDescent="0.35">
      <c r="A3" s="21" t="s">
        <v>133</v>
      </c>
    </row>
    <row r="4" spans="1:4" x14ac:dyDescent="0.35">
      <c r="A4" s="11" t="s">
        <v>134</v>
      </c>
      <c r="B4" s="11" t="s">
        <v>135</v>
      </c>
      <c r="C4" s="11" t="s">
        <v>136</v>
      </c>
    </row>
    <row r="5" spans="1:4" x14ac:dyDescent="0.35">
      <c r="A5" t="s">
        <v>137</v>
      </c>
      <c r="B5" s="2">
        <v>1</v>
      </c>
      <c r="C5" t="s">
        <v>138</v>
      </c>
    </row>
    <row r="6" spans="1:4" x14ac:dyDescent="0.35">
      <c r="A6" t="s">
        <v>139</v>
      </c>
      <c r="B6" s="2">
        <v>15</v>
      </c>
      <c r="C6" t="s">
        <v>140</v>
      </c>
    </row>
    <row r="7" spans="1:4" x14ac:dyDescent="0.35">
      <c r="A7" t="s">
        <v>141</v>
      </c>
      <c r="B7" s="2">
        <v>100</v>
      </c>
      <c r="C7" t="s">
        <v>142</v>
      </c>
    </row>
    <row r="8" spans="1:4" x14ac:dyDescent="0.35">
      <c r="B8" s="2"/>
    </row>
    <row r="9" spans="1:4" x14ac:dyDescent="0.35">
      <c r="A9" s="21" t="s">
        <v>52</v>
      </c>
      <c r="B9" s="2"/>
      <c r="D9" s="22" t="s">
        <v>53</v>
      </c>
    </row>
    <row r="10" spans="1:4" x14ac:dyDescent="0.35">
      <c r="A10" s="15" t="s">
        <v>143</v>
      </c>
      <c r="B10" s="4">
        <v>30000</v>
      </c>
    </row>
    <row r="11" spans="1:4" x14ac:dyDescent="0.35">
      <c r="A11" s="15" t="s">
        <v>144</v>
      </c>
      <c r="B11" s="4">
        <v>45000</v>
      </c>
    </row>
    <row r="12" spans="1:4" x14ac:dyDescent="0.35">
      <c r="A12" s="15" t="s">
        <v>145</v>
      </c>
      <c r="B12" s="4">
        <v>5000</v>
      </c>
    </row>
    <row r="13" spans="1:4" x14ac:dyDescent="0.35">
      <c r="A13" s="15" t="s">
        <v>57</v>
      </c>
      <c r="B13" s="4" t="s">
        <v>58</v>
      </c>
    </row>
    <row r="14" spans="1:4" x14ac:dyDescent="0.35">
      <c r="A14" s="15" t="s">
        <v>59</v>
      </c>
      <c r="B14" s="23">
        <f>'Key Licensing Rules'!$D$5</f>
        <v>0.01</v>
      </c>
      <c r="C14" s="24" t="s">
        <v>77</v>
      </c>
    </row>
    <row r="15" spans="1:4" x14ac:dyDescent="0.35">
      <c r="A15" s="15" t="s">
        <v>61</v>
      </c>
      <c r="B15" s="25">
        <f>'Key Licensing Rules'!$D$6</f>
        <v>160</v>
      </c>
      <c r="C15" s="24" t="s">
        <v>77</v>
      </c>
    </row>
    <row r="16" spans="1:4" x14ac:dyDescent="0.35">
      <c r="A16" s="15" t="s">
        <v>62</v>
      </c>
      <c r="B16" s="26">
        <v>25000</v>
      </c>
    </row>
    <row r="17" spans="1:7" x14ac:dyDescent="0.35">
      <c r="B17" s="2"/>
    </row>
    <row r="18" spans="1:7" x14ac:dyDescent="0.35">
      <c r="A18" s="21" t="s">
        <v>63</v>
      </c>
      <c r="B18" s="2"/>
    </row>
    <row r="19" spans="1:7" x14ac:dyDescent="0.35">
      <c r="A19" s="15" t="s">
        <v>146</v>
      </c>
      <c r="B19" s="2">
        <f>(B10/10)*1</f>
        <v>3000</v>
      </c>
      <c r="C19" t="s">
        <v>147</v>
      </c>
    </row>
    <row r="20" spans="1:7" x14ac:dyDescent="0.35">
      <c r="A20" s="15" t="s">
        <v>148</v>
      </c>
      <c r="B20" s="14">
        <f>(B11/10)*15</f>
        <v>67500</v>
      </c>
      <c r="C20" s="1" t="s">
        <v>149</v>
      </c>
      <c r="D20" s="1"/>
    </row>
    <row r="21" spans="1:7" x14ac:dyDescent="0.35">
      <c r="A21" s="15" t="s">
        <v>150</v>
      </c>
      <c r="B21" s="14">
        <f>(B12/10)*100</f>
        <v>50000</v>
      </c>
      <c r="C21" s="1" t="s">
        <v>151</v>
      </c>
      <c r="D21" s="1"/>
    </row>
    <row r="22" spans="1:7" x14ac:dyDescent="0.35">
      <c r="A22" s="15" t="s">
        <v>114</v>
      </c>
      <c r="B22" s="38">
        <f>B19+B20+B21</f>
        <v>120500</v>
      </c>
      <c r="C22" s="1"/>
      <c r="D22" s="1"/>
    </row>
    <row r="23" spans="1:7" x14ac:dyDescent="0.35">
      <c r="A23" s="15" t="s">
        <v>66</v>
      </c>
      <c r="B23" s="13" t="str">
        <f>IF(UPPER(B13)="LICENSED","Yes","No")</f>
        <v>No</v>
      </c>
      <c r="C23" s="13"/>
      <c r="D23" s="13"/>
      <c r="E23" s="2"/>
      <c r="F23" s="2"/>
      <c r="G23" s="2"/>
    </row>
    <row r="24" spans="1:7" x14ac:dyDescent="0.35">
      <c r="A24" s="15" t="s">
        <v>67</v>
      </c>
      <c r="B24" s="14">
        <f>IF(B23="Yes",0,B22)</f>
        <v>120500</v>
      </c>
      <c r="C24" s="13"/>
      <c r="D24" s="13"/>
      <c r="E24" s="2"/>
      <c r="F24" s="2"/>
      <c r="G24" s="2"/>
    </row>
    <row r="25" spans="1:7" x14ac:dyDescent="0.35">
      <c r="B25" s="13"/>
      <c r="C25" s="13"/>
      <c r="D25" s="13"/>
      <c r="E25" s="2"/>
      <c r="F25" s="2"/>
      <c r="G25" s="2"/>
    </row>
    <row r="26" spans="1:7" x14ac:dyDescent="0.35">
      <c r="A26" s="15" t="s">
        <v>68</v>
      </c>
      <c r="B26" s="2"/>
      <c r="C26" s="2"/>
      <c r="D26" s="2"/>
      <c r="E26" s="2"/>
      <c r="F26" s="2"/>
      <c r="G26" s="2"/>
    </row>
    <row r="27" spans="1:7" x14ac:dyDescent="0.35">
      <c r="A27" s="11" t="s">
        <v>69</v>
      </c>
      <c r="B27" s="27" t="s">
        <v>34</v>
      </c>
      <c r="C27" s="27" t="s">
        <v>35</v>
      </c>
      <c r="D27" s="2"/>
      <c r="E27" s="28" t="s">
        <v>32</v>
      </c>
      <c r="F27" s="28" t="s">
        <v>34</v>
      </c>
      <c r="G27" s="2"/>
    </row>
    <row r="28" spans="1:7" x14ac:dyDescent="0.35">
      <c r="A28" s="15" t="s">
        <v>7</v>
      </c>
      <c r="B28" s="13">
        <f>B24*'Key Licensing Rules'!$D$5</f>
        <v>1205</v>
      </c>
      <c r="C28" s="13">
        <f>B28*12</f>
        <v>14460</v>
      </c>
      <c r="D28" s="2"/>
      <c r="E28" s="2" t="s">
        <v>39</v>
      </c>
      <c r="F28" s="13">
        <f>B28</f>
        <v>1205</v>
      </c>
      <c r="G28" s="2"/>
    </row>
    <row r="29" spans="1:7" x14ac:dyDescent="0.35">
      <c r="A29" s="15" t="s">
        <v>40</v>
      </c>
      <c r="B29" s="13">
        <f>IF(B24&lt;25000, B24*('Key Licensing Rules'!$D$6/25000), CEILING(B24/25000,1)*'Key Licensing Rules'!$D$6)</f>
        <v>800</v>
      </c>
      <c r="C29" s="13">
        <f>B29*12</f>
        <v>9600</v>
      </c>
      <c r="D29" s="2"/>
      <c r="E29" s="2" t="s">
        <v>40</v>
      </c>
      <c r="F29" s="13">
        <f>B29</f>
        <v>800</v>
      </c>
      <c r="G29" s="2"/>
    </row>
    <row r="30" spans="1:7" x14ac:dyDescent="0.35">
      <c r="A30" s="15" t="s">
        <v>41</v>
      </c>
      <c r="B30" s="13">
        <f>B24*'Key Licensing Rules'!$D$7</f>
        <v>1144.75</v>
      </c>
      <c r="C30" s="13">
        <f>B30*12</f>
        <v>13737</v>
      </c>
      <c r="D30" s="2"/>
      <c r="E30" s="2" t="s">
        <v>41</v>
      </c>
      <c r="F30" s="13">
        <f>B30</f>
        <v>1144.75</v>
      </c>
      <c r="G30" s="2"/>
    </row>
    <row r="31" spans="1:7" x14ac:dyDescent="0.35">
      <c r="A31" s="15" t="s">
        <v>43</v>
      </c>
      <c r="B31" s="13">
        <f>IF(B24&lt;25000, MIN(B24*'Key Licensing Rules'!$D$5, B24*('Key Licensing Rules'!$D$6/25000)), QUOTIENT(B24,25000)*'Key Licensing Rules'!$D$6 + MOD(B24,25000)*'Key Licensing Rules'!$D$5)</f>
        <v>845</v>
      </c>
      <c r="C31" s="13">
        <f>B31*12</f>
        <v>10140</v>
      </c>
      <c r="D31" s="2"/>
      <c r="E31" s="2" t="s">
        <v>45</v>
      </c>
      <c r="F31" s="13">
        <f>B31</f>
        <v>845</v>
      </c>
      <c r="G31" s="2"/>
    </row>
    <row r="32" spans="1:7" x14ac:dyDescent="0.35">
      <c r="A32" s="15" t="s">
        <v>13</v>
      </c>
      <c r="B32" s="13">
        <f>IF(B24&lt;25000, MIN(B24*'Key Licensing Rules'!$D$7, B24*('Key Licensing Rules'!$D$6/25000)), QUOTIENT(B24,25000)*'Key Licensing Rules'!$D$6 + MOD(B24,25000)*'Key Licensing Rules'!$D$7)</f>
        <v>834.75</v>
      </c>
      <c r="C32" s="13">
        <f>B32*12</f>
        <v>10017</v>
      </c>
      <c r="D32" s="2"/>
      <c r="E32" s="2" t="s">
        <v>47</v>
      </c>
      <c r="F32" s="13">
        <f>B32</f>
        <v>834.75</v>
      </c>
      <c r="G32" s="2"/>
    </row>
    <row r="33" spans="1:7" x14ac:dyDescent="0.35">
      <c r="B33" s="2"/>
      <c r="C33" s="2"/>
      <c r="D33" s="2"/>
      <c r="E33" s="2"/>
      <c r="F33" s="2"/>
      <c r="G33" s="2"/>
    </row>
    <row r="34" spans="1:7" x14ac:dyDescent="0.35">
      <c r="A34" s="15" t="s">
        <v>71</v>
      </c>
      <c r="B34" s="2"/>
      <c r="C34" s="2"/>
      <c r="D34" s="2"/>
      <c r="E34" s="2"/>
      <c r="F34" s="2"/>
      <c r="G34" s="2"/>
    </row>
    <row r="35" spans="1:7" x14ac:dyDescent="0.35">
      <c r="A35" s="17" t="s">
        <v>71</v>
      </c>
      <c r="B35" s="2" t="str">
        <f>"Monthly: "&amp;TEXT(MIN(B28:B32),"[$$-en-US]#,##0.00")&amp;" | Annual: "&amp;TEXT(MIN(B28:B32)*12,"[$$-en-US]#,##0.00")</f>
        <v>Monthly: $800.00 | Annual: $9,600.00</v>
      </c>
      <c r="C35" s="2"/>
      <c r="D35" s="2"/>
      <c r="E35" s="2"/>
      <c r="F35" s="2"/>
      <c r="G35" s="2"/>
    </row>
    <row r="36" spans="1:7" x14ac:dyDescent="0.35">
      <c r="A36" t="str">
        <f>INDEX(A28:A32,MATCH(MIN(B28:B32),B28:B32,0))&amp;" is cheapest"</f>
        <v>Capacity Packs is cheapest</v>
      </c>
      <c r="B36" s="2" t="str">
        <f>"Monthly: "&amp;TEXT(MIN(B28:B32),"[$$-en-US]#,##0.00")&amp;" | Annual: "&amp;TEXT(MIN(B28:B32)*12,"[$$-en-US]#,##0.00")</f>
        <v>Monthly: $800.00 | Annual: $9,600.00</v>
      </c>
      <c r="C36" s="2"/>
      <c r="D36" s="2"/>
      <c r="E36" s="2"/>
      <c r="F36" s="2"/>
    </row>
  </sheetData>
  <sheetProtection algorithmName="SHA-512" hashValue="nRJSlB12qLzuXPzfBuR7wNCRMS3R2qHL87rT/9vgoattQoKj6rB0h1xpw8JUcIxwGRyvOzbHBPR4iLbADK5Nzw==" saltValue="7SUmbC3mMu6YDUCP8sFTLA==" spinCount="100000" sheet="1" objects="1" scenarios="1"/>
  <dataValidations count="1">
    <dataValidation type="decimal" allowBlank="1" showInputMessage="1" showErrorMessage="1" errorTitle="Invalid Entry" error="Please enter a positive number only." promptTitle="Input Required" prompt="Enter a positive number" sqref="B10:B12" xr:uid="{D52AC5C2-D36F-42D3-8A93-491F23028372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D2E9-1C98-43E4-A6B8-EE8ADCE9E459}">
  <sheetPr codeName="Sheet9"/>
  <dimension ref="A1:G36"/>
  <sheetViews>
    <sheetView tabSelected="1" topLeftCell="A3" workbookViewId="0">
      <selection activeCell="A24" sqref="A24"/>
    </sheetView>
  </sheetViews>
  <sheetFormatPr defaultRowHeight="14.5" x14ac:dyDescent="0.35"/>
  <cols>
    <col min="1" max="1" width="102.81640625" bestFit="1" customWidth="1"/>
    <col min="2" max="2" width="12.7265625" bestFit="1" customWidth="1"/>
    <col min="3" max="3" width="11.54296875" bestFit="1" customWidth="1"/>
    <col min="5" max="5" width="14.1796875" bestFit="1" customWidth="1"/>
    <col min="6" max="6" width="11.81640625" bestFit="1" customWidth="1"/>
  </cols>
  <sheetData>
    <row r="1" spans="1:4" ht="18.5" x14ac:dyDescent="0.45">
      <c r="A1" s="18" t="s">
        <v>152</v>
      </c>
    </row>
    <row r="3" spans="1:4" x14ac:dyDescent="0.35">
      <c r="A3" s="19" t="s">
        <v>153</v>
      </c>
    </row>
    <row r="5" spans="1:4" x14ac:dyDescent="0.35">
      <c r="A5" s="20" t="s">
        <v>154</v>
      </c>
    </row>
    <row r="7" spans="1:4" x14ac:dyDescent="0.35">
      <c r="A7" s="21" t="s">
        <v>52</v>
      </c>
      <c r="D7" s="22" t="s">
        <v>53</v>
      </c>
    </row>
    <row r="8" spans="1:4" x14ac:dyDescent="0.35">
      <c r="A8" s="15" t="s">
        <v>155</v>
      </c>
      <c r="B8" s="4">
        <v>500</v>
      </c>
    </row>
    <row r="9" spans="1:4" x14ac:dyDescent="0.35">
      <c r="A9" s="15" t="s">
        <v>156</v>
      </c>
      <c r="B9" s="4">
        <v>5</v>
      </c>
    </row>
    <row r="10" spans="1:4" x14ac:dyDescent="0.35">
      <c r="A10" s="15" t="s">
        <v>57</v>
      </c>
      <c r="B10" s="4" t="s">
        <v>58</v>
      </c>
    </row>
    <row r="11" spans="1:4" x14ac:dyDescent="0.35">
      <c r="A11" s="15" t="s">
        <v>59</v>
      </c>
      <c r="B11" s="23">
        <f>'Key Licensing Rules'!$D$5</f>
        <v>0.01</v>
      </c>
      <c r="C11" s="24" t="s">
        <v>77</v>
      </c>
    </row>
    <row r="12" spans="1:4" x14ac:dyDescent="0.35">
      <c r="A12" s="15" t="s">
        <v>61</v>
      </c>
      <c r="B12" s="25">
        <f>'Key Licensing Rules'!$D$6</f>
        <v>160</v>
      </c>
      <c r="C12" s="24" t="s">
        <v>77</v>
      </c>
    </row>
    <row r="13" spans="1:4" x14ac:dyDescent="0.35">
      <c r="A13" s="15" t="s">
        <v>62</v>
      </c>
      <c r="B13" s="26">
        <v>25000</v>
      </c>
    </row>
    <row r="14" spans="1:4" x14ac:dyDescent="0.35">
      <c r="B14" s="2"/>
    </row>
    <row r="15" spans="1:4" x14ac:dyDescent="0.35">
      <c r="A15" s="21" t="s">
        <v>63</v>
      </c>
      <c r="B15" s="2"/>
    </row>
    <row r="16" spans="1:4" x14ac:dyDescent="0.35">
      <c r="A16" s="15" t="s">
        <v>157</v>
      </c>
      <c r="B16" s="2">
        <f>B8*B9</f>
        <v>2500</v>
      </c>
    </row>
    <row r="17" spans="1:7" x14ac:dyDescent="0.35">
      <c r="A17" s="15" t="s">
        <v>158</v>
      </c>
      <c r="B17" s="2">
        <v>8</v>
      </c>
    </row>
    <row r="18" spans="1:7" x14ac:dyDescent="0.35">
      <c r="A18" s="15" t="s">
        <v>114</v>
      </c>
      <c r="B18" s="2">
        <f>B16*B17</f>
        <v>20000</v>
      </c>
    </row>
    <row r="19" spans="1:7" x14ac:dyDescent="0.35">
      <c r="A19" s="15" t="s">
        <v>159</v>
      </c>
      <c r="B19" s="13">
        <f>B17*B11</f>
        <v>0.08</v>
      </c>
    </row>
    <row r="20" spans="1:7" x14ac:dyDescent="0.35">
      <c r="A20" s="15" t="s">
        <v>66</v>
      </c>
      <c r="B20" s="13" t="str">
        <f>IF(UPPER(B10)="LICENSED","Yes","No")</f>
        <v>No</v>
      </c>
      <c r="C20" s="1"/>
      <c r="D20" s="1"/>
    </row>
    <row r="21" spans="1:7" x14ac:dyDescent="0.35">
      <c r="A21" s="15" t="s">
        <v>67</v>
      </c>
      <c r="B21" s="14">
        <f>IF(B20="Yes",0,B18)</f>
        <v>20000</v>
      </c>
      <c r="C21" s="1"/>
      <c r="D21" s="1"/>
    </row>
    <row r="22" spans="1:7" x14ac:dyDescent="0.35">
      <c r="B22" s="13"/>
      <c r="C22" s="1"/>
      <c r="D22" s="1"/>
    </row>
    <row r="23" spans="1:7" x14ac:dyDescent="0.35">
      <c r="A23" s="15" t="s">
        <v>68</v>
      </c>
      <c r="B23" s="2"/>
      <c r="C23" s="2"/>
      <c r="D23" s="2"/>
      <c r="E23" s="2"/>
      <c r="F23" s="2"/>
      <c r="G23" s="2"/>
    </row>
    <row r="24" spans="1:7" x14ac:dyDescent="0.35">
      <c r="A24" s="11" t="s">
        <v>69</v>
      </c>
      <c r="B24" s="27" t="s">
        <v>34</v>
      </c>
      <c r="C24" s="27" t="s">
        <v>35</v>
      </c>
      <c r="D24" s="2"/>
      <c r="E24" s="28" t="s">
        <v>32</v>
      </c>
      <c r="F24" s="28" t="s">
        <v>34</v>
      </c>
      <c r="G24" s="2"/>
    </row>
    <row r="25" spans="1:7" x14ac:dyDescent="0.35">
      <c r="A25" s="15" t="s">
        <v>7</v>
      </c>
      <c r="B25" s="13">
        <f>B21*'Key Licensing Rules'!$D$5</f>
        <v>200</v>
      </c>
      <c r="C25" s="13">
        <f>B25*12</f>
        <v>2400</v>
      </c>
      <c r="D25" s="2"/>
      <c r="E25" s="2" t="s">
        <v>39</v>
      </c>
      <c r="F25" s="13">
        <f>B25</f>
        <v>200</v>
      </c>
      <c r="G25" s="2"/>
    </row>
    <row r="26" spans="1:7" x14ac:dyDescent="0.35">
      <c r="A26" s="15" t="s">
        <v>40</v>
      </c>
      <c r="B26" s="13">
        <f>IF(B21&lt;25000, B21*('Key Licensing Rules'!$D$6/25000), CEILING(B21/25000,1)*'Key Licensing Rules'!$D$6)</f>
        <v>128</v>
      </c>
      <c r="C26" s="13">
        <f>B26*12</f>
        <v>1536</v>
      </c>
      <c r="D26" s="2"/>
      <c r="E26" s="2" t="s">
        <v>40</v>
      </c>
      <c r="F26" s="13">
        <f>B26</f>
        <v>128</v>
      </c>
      <c r="G26" s="2"/>
    </row>
    <row r="27" spans="1:7" x14ac:dyDescent="0.35">
      <c r="A27" s="15" t="s">
        <v>41</v>
      </c>
      <c r="B27" s="13">
        <f>B21*'Key Licensing Rules'!$D$7</f>
        <v>190</v>
      </c>
      <c r="C27" s="13">
        <f>B27*12</f>
        <v>2280</v>
      </c>
      <c r="D27" s="2"/>
      <c r="E27" s="2" t="s">
        <v>41</v>
      </c>
      <c r="F27" s="13">
        <f>B27</f>
        <v>190</v>
      </c>
      <c r="G27" s="2"/>
    </row>
    <row r="28" spans="1:7" x14ac:dyDescent="0.35">
      <c r="A28" s="15" t="s">
        <v>43</v>
      </c>
      <c r="B28" s="13">
        <f>IF(B21&lt;25000, MIN(B21*'Key Licensing Rules'!$D$5, B21*('Key Licensing Rules'!$D$6/25000)), QUOTIENT(B21,25000)*'Key Licensing Rules'!$D$6 + MOD(B21,25000)*'Key Licensing Rules'!$D$5)</f>
        <v>128</v>
      </c>
      <c r="C28" s="13">
        <f>B28*12</f>
        <v>1536</v>
      </c>
      <c r="D28" s="2"/>
      <c r="E28" s="2" t="s">
        <v>45</v>
      </c>
      <c r="F28" s="13">
        <f>B28</f>
        <v>128</v>
      </c>
      <c r="G28" s="2"/>
    </row>
    <row r="29" spans="1:7" x14ac:dyDescent="0.35">
      <c r="A29" s="15" t="s">
        <v>13</v>
      </c>
      <c r="B29" s="13">
        <f>IF(B21&lt;25000, MIN(B21*'Key Licensing Rules'!$D$7, B21*('Key Licensing Rules'!$D$6/25000)), QUOTIENT(B21,25000)*'Key Licensing Rules'!$D$6 + MOD(B21,25000)*'Key Licensing Rules'!$D$7)</f>
        <v>128</v>
      </c>
      <c r="C29" s="13">
        <f>B29*12</f>
        <v>1536</v>
      </c>
      <c r="D29" s="2"/>
      <c r="E29" s="2" t="s">
        <v>47</v>
      </c>
      <c r="F29" s="13">
        <f>B29</f>
        <v>128</v>
      </c>
      <c r="G29" s="2"/>
    </row>
    <row r="30" spans="1:7" x14ac:dyDescent="0.35">
      <c r="B30" s="2"/>
      <c r="C30" s="2"/>
      <c r="D30" s="2"/>
      <c r="E30" s="2"/>
      <c r="F30" s="2"/>
      <c r="G30" s="2"/>
    </row>
    <row r="31" spans="1:7" x14ac:dyDescent="0.35">
      <c r="A31" s="15" t="s">
        <v>71</v>
      </c>
      <c r="B31" s="2"/>
      <c r="C31" s="2"/>
      <c r="D31" s="2"/>
      <c r="E31" s="2"/>
      <c r="F31" s="2"/>
      <c r="G31" s="2"/>
    </row>
    <row r="32" spans="1:7" x14ac:dyDescent="0.35">
      <c r="A32" s="17" t="s">
        <v>71</v>
      </c>
      <c r="B32" s="2" t="str">
        <f>"Monthly: "&amp;TEXT(MIN(B25:B29),"[$$-en-US]#,##0.00")&amp;" | Annual: "&amp;TEXT(MIN(B25:B29)*12,"[$$-en-US]#,##0.00")</f>
        <v>Monthly: $128.00 | Annual: $1,536.00</v>
      </c>
      <c r="C32" s="2"/>
      <c r="D32" s="2"/>
      <c r="E32" s="2"/>
      <c r="F32" s="2"/>
      <c r="G32" s="2"/>
    </row>
    <row r="33" spans="1:7" x14ac:dyDescent="0.35">
      <c r="A33" t="str">
        <f>INDEX(A25:A29,MATCH(MIN(B25:B29),B25:B29,0))&amp;" is cheapest"</f>
        <v>Capacity Packs is cheapest</v>
      </c>
      <c r="B33" s="2" t="str">
        <f>"Monthly: "&amp;TEXT(MIN(B25:B29),"[$$-en-US]#,##0.00")&amp;" | Annual: "&amp;TEXT(MIN(B25:B29)*12,"[$$-en-US]#,##0.00")</f>
        <v>Monthly: $128.00 | Annual: $1,536.00</v>
      </c>
      <c r="C33" s="2"/>
      <c r="D33" s="2"/>
      <c r="E33" s="2"/>
      <c r="F33" s="2"/>
      <c r="G33" s="2"/>
    </row>
    <row r="34" spans="1:7" x14ac:dyDescent="0.35">
      <c r="B34" s="2"/>
      <c r="C34" s="2"/>
      <c r="D34" s="2"/>
      <c r="E34" s="2"/>
      <c r="F34" s="2"/>
      <c r="G34" s="2"/>
    </row>
    <row r="35" spans="1:7" x14ac:dyDescent="0.35">
      <c r="B35" s="2"/>
      <c r="C35" s="2"/>
      <c r="D35" s="2"/>
      <c r="E35" s="2"/>
      <c r="F35" s="2"/>
      <c r="G35" s="2"/>
    </row>
    <row r="36" spans="1:7" x14ac:dyDescent="0.35">
      <c r="B36" s="2"/>
      <c r="C36" s="2"/>
      <c r="D36" s="2"/>
      <c r="E36" s="2"/>
      <c r="F36" s="2"/>
    </row>
  </sheetData>
  <sheetProtection algorithmName="SHA-512" hashValue="/7NiSfa9LihrmWtmRd19gtVhhoINik50I012NT3GBpCwxRqKgnK7oSMex7bIfunnXXkT9MMeZNeeD/tEE83z7g==" saltValue="xVseCo50tAtauZv24yhSqg==" spinCount="100000" sheet="1" objects="1" scenarios="1"/>
  <dataValidations count="1">
    <dataValidation type="decimal" allowBlank="1" showInputMessage="1" showErrorMessage="1" errorTitle="Invalid Entry" error="Please enter a positive number only." promptTitle="Input Required" prompt="Enter a positive number" sqref="B8:B9" xr:uid="{2F23B9A6-092C-4933-977B-6265138DD077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0354-E0DF-42E7-B81A-17A2AE284B06}">
  <sheetPr codeName="Sheet10"/>
  <dimension ref="A1:L90"/>
  <sheetViews>
    <sheetView topLeftCell="A47" workbookViewId="0">
      <selection activeCell="E34" sqref="E34"/>
    </sheetView>
  </sheetViews>
  <sheetFormatPr defaultRowHeight="15" customHeight="1" x14ac:dyDescent="0.35"/>
  <cols>
    <col min="1" max="1" width="38.26953125" customWidth="1"/>
    <col min="2" max="2" width="33.54296875" bestFit="1" customWidth="1"/>
    <col min="3" max="3" width="13.7265625" bestFit="1" customWidth="1"/>
    <col min="4" max="4" width="18.81640625" customWidth="1"/>
    <col min="5" max="5" width="17.26953125" customWidth="1"/>
    <col min="6" max="6" width="15.7265625" customWidth="1"/>
  </cols>
  <sheetData>
    <row r="1" spans="1:3" ht="18.5" x14ac:dyDescent="0.45">
      <c r="A1" s="39" t="s">
        <v>160</v>
      </c>
    </row>
    <row r="3" spans="1:3" ht="14.5" x14ac:dyDescent="0.35">
      <c r="A3" t="s">
        <v>161</v>
      </c>
    </row>
    <row r="5" spans="1:3" ht="14.5" x14ac:dyDescent="0.35">
      <c r="A5" s="15" t="s">
        <v>162</v>
      </c>
    </row>
    <row r="6" spans="1:3" ht="14.5" x14ac:dyDescent="0.35">
      <c r="A6" s="15" t="s">
        <v>163</v>
      </c>
      <c r="B6" s="15" t="s">
        <v>164</v>
      </c>
    </row>
    <row r="7" spans="1:3" ht="14.5" x14ac:dyDescent="0.35">
      <c r="A7" t="s">
        <v>165</v>
      </c>
      <c r="B7" s="40">
        <v>1</v>
      </c>
    </row>
    <row r="8" spans="1:3" ht="14.5" x14ac:dyDescent="0.35">
      <c r="A8" t="s">
        <v>166</v>
      </c>
      <c r="B8" s="40">
        <v>2</v>
      </c>
    </row>
    <row r="9" spans="1:3" ht="14.5" x14ac:dyDescent="0.35">
      <c r="A9" t="s">
        <v>167</v>
      </c>
      <c r="B9" s="40">
        <v>5</v>
      </c>
    </row>
    <row r="10" spans="1:3" ht="14.5" x14ac:dyDescent="0.35">
      <c r="A10" t="s">
        <v>168</v>
      </c>
      <c r="B10" s="40">
        <v>10</v>
      </c>
    </row>
    <row r="11" spans="1:3" ht="14.5" x14ac:dyDescent="0.35">
      <c r="A11" t="s">
        <v>169</v>
      </c>
      <c r="B11" s="40">
        <v>25</v>
      </c>
    </row>
    <row r="12" spans="1:3" ht="14.5" x14ac:dyDescent="0.35">
      <c r="A12" t="s">
        <v>170</v>
      </c>
      <c r="B12" s="40">
        <v>8</v>
      </c>
    </row>
    <row r="13" spans="1:3" ht="14.5" x14ac:dyDescent="0.35">
      <c r="A13" t="s">
        <v>171</v>
      </c>
      <c r="B13" s="40">
        <v>1</v>
      </c>
    </row>
    <row r="14" spans="1:3" ht="14.5" x14ac:dyDescent="0.35">
      <c r="A14" t="s">
        <v>172</v>
      </c>
      <c r="B14" s="40">
        <v>15</v>
      </c>
    </row>
    <row r="15" spans="1:3" ht="14.5" x14ac:dyDescent="0.35">
      <c r="A15" t="s">
        <v>173</v>
      </c>
      <c r="B15" s="40">
        <v>100</v>
      </c>
      <c r="C15" t="s">
        <v>174</v>
      </c>
    </row>
    <row r="17" spans="1:12" ht="14.5" x14ac:dyDescent="0.35">
      <c r="A17" s="15" t="s">
        <v>175</v>
      </c>
    </row>
    <row r="18" spans="1:12" ht="14.5" x14ac:dyDescent="0.35">
      <c r="A18" s="41" t="s">
        <v>176</v>
      </c>
      <c r="B18" s="41" t="s">
        <v>177</v>
      </c>
      <c r="C18" s="41" t="s">
        <v>178</v>
      </c>
      <c r="D18" s="41" t="s">
        <v>179</v>
      </c>
      <c r="E18" s="41" t="s">
        <v>180</v>
      </c>
      <c r="F18" s="41" t="s">
        <v>181</v>
      </c>
      <c r="G18" s="41" t="s">
        <v>182</v>
      </c>
      <c r="H18" s="41" t="s">
        <v>183</v>
      </c>
      <c r="I18" s="41" t="s">
        <v>184</v>
      </c>
      <c r="J18" s="41" t="s">
        <v>185</v>
      </c>
      <c r="K18" s="41" t="s">
        <v>186</v>
      </c>
      <c r="L18" s="41" t="s">
        <v>187</v>
      </c>
    </row>
    <row r="19" spans="1:12" ht="14.5" x14ac:dyDescent="0.35">
      <c r="A19">
        <v>1</v>
      </c>
      <c r="B19" t="s">
        <v>188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42">
        <f t="shared" ref="L19:L26" si="0">C19*$B$7 + D19*$B$8 + E19*$B$10 + F19*$B$9 + G19*$B$11 + H19*$B$12 + I19*($B$13/10) + J19*($B$14/10) + K19*($B$15/10)</f>
        <v>1</v>
      </c>
    </row>
    <row r="20" spans="1:12" ht="14.5" x14ac:dyDescent="0.35">
      <c r="A20">
        <v>2</v>
      </c>
      <c r="B20" t="s">
        <v>189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42">
        <f t="shared" si="0"/>
        <v>2</v>
      </c>
    </row>
    <row r="21" spans="1:12" ht="14.5" x14ac:dyDescent="0.35">
      <c r="A21">
        <v>3</v>
      </c>
      <c r="B21" t="s">
        <v>190</v>
      </c>
      <c r="C21" s="2">
        <v>0</v>
      </c>
      <c r="D21" s="2">
        <v>1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42">
        <f t="shared" si="0"/>
        <v>12</v>
      </c>
    </row>
    <row r="22" spans="1:12" ht="14.5" x14ac:dyDescent="0.35">
      <c r="A22">
        <v>4</v>
      </c>
      <c r="B22" t="s">
        <v>191</v>
      </c>
      <c r="C22" s="2">
        <v>0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42">
        <f t="shared" si="0"/>
        <v>7</v>
      </c>
    </row>
    <row r="23" spans="1:12" ht="14.5" x14ac:dyDescent="0.35">
      <c r="A23">
        <v>5</v>
      </c>
      <c r="B23" t="s">
        <v>192</v>
      </c>
      <c r="C23" s="2">
        <v>0</v>
      </c>
      <c r="D23" s="2">
        <v>1</v>
      </c>
      <c r="E23" s="2">
        <v>1</v>
      </c>
      <c r="F23" s="2">
        <v>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42">
        <f t="shared" si="0"/>
        <v>22</v>
      </c>
    </row>
    <row r="24" spans="1:12" ht="14.5" x14ac:dyDescent="0.35">
      <c r="A24">
        <v>6</v>
      </c>
      <c r="B24" t="s">
        <v>193</v>
      </c>
      <c r="C24" s="2">
        <v>0</v>
      </c>
      <c r="D24" s="2">
        <v>1</v>
      </c>
      <c r="E24" s="2">
        <v>0</v>
      </c>
      <c r="F24" s="2">
        <v>2</v>
      </c>
      <c r="G24" s="2">
        <v>1</v>
      </c>
      <c r="H24" s="2">
        <v>5</v>
      </c>
      <c r="I24" s="2">
        <v>0</v>
      </c>
      <c r="J24" s="2">
        <v>0</v>
      </c>
      <c r="K24" s="2">
        <v>0</v>
      </c>
      <c r="L24" s="42">
        <f t="shared" si="0"/>
        <v>77</v>
      </c>
    </row>
    <row r="25" spans="1:12" ht="14.5" x14ac:dyDescent="0.35">
      <c r="A25">
        <v>7</v>
      </c>
      <c r="B25" t="s">
        <v>194</v>
      </c>
      <c r="C25" s="2">
        <v>0</v>
      </c>
      <c r="D25" s="2">
        <v>1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42">
        <f t="shared" si="0"/>
        <v>27</v>
      </c>
    </row>
    <row r="26" spans="1:12" ht="14.5" x14ac:dyDescent="0.35">
      <c r="A26">
        <v>8</v>
      </c>
      <c r="B26" t="s">
        <v>195</v>
      </c>
      <c r="C26" s="2">
        <v>0</v>
      </c>
      <c r="D26" s="2">
        <v>1</v>
      </c>
      <c r="E26" s="2">
        <v>0</v>
      </c>
      <c r="F26" s="2">
        <v>3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42">
        <f t="shared" si="0"/>
        <v>42</v>
      </c>
    </row>
    <row r="28" spans="1:12" ht="14.5" x14ac:dyDescent="0.35">
      <c r="A28" s="15" t="s">
        <v>196</v>
      </c>
      <c r="D28" s="43" t="s">
        <v>53</v>
      </c>
    </row>
    <row r="29" spans="1:12" ht="14.5" x14ac:dyDescent="0.35">
      <c r="A29" s="15" t="s">
        <v>176</v>
      </c>
      <c r="B29" s="15" t="s">
        <v>177</v>
      </c>
      <c r="C29" s="15" t="s">
        <v>197</v>
      </c>
    </row>
    <row r="30" spans="1:12" ht="14.5" x14ac:dyDescent="0.35">
      <c r="A30">
        <v>1</v>
      </c>
      <c r="B30" t="s">
        <v>188</v>
      </c>
      <c r="C30" s="56">
        <v>2000</v>
      </c>
    </row>
    <row r="31" spans="1:12" ht="14.5" x14ac:dyDescent="0.35">
      <c r="A31">
        <v>2</v>
      </c>
      <c r="B31" t="s">
        <v>189</v>
      </c>
      <c r="C31" s="56">
        <v>3000</v>
      </c>
    </row>
    <row r="32" spans="1:12" ht="14.5" x14ac:dyDescent="0.35">
      <c r="A32">
        <v>3</v>
      </c>
      <c r="B32" t="s">
        <v>190</v>
      </c>
      <c r="C32" s="56">
        <v>2000</v>
      </c>
    </row>
    <row r="33" spans="1:6" ht="14.5" x14ac:dyDescent="0.35">
      <c r="A33">
        <v>4</v>
      </c>
      <c r="B33" t="s">
        <v>191</v>
      </c>
      <c r="C33" s="56">
        <v>1500</v>
      </c>
    </row>
    <row r="34" spans="1:6" ht="14.5" x14ac:dyDescent="0.35">
      <c r="A34">
        <v>5</v>
      </c>
      <c r="B34" t="s">
        <v>192</v>
      </c>
      <c r="C34" s="56">
        <v>1000</v>
      </c>
    </row>
    <row r="35" spans="1:6" ht="14.5" x14ac:dyDescent="0.35">
      <c r="A35">
        <v>6</v>
      </c>
      <c r="B35" t="s">
        <v>193</v>
      </c>
      <c r="C35" s="56">
        <v>500</v>
      </c>
    </row>
    <row r="36" spans="1:6" ht="14.5" x14ac:dyDescent="0.35">
      <c r="A36">
        <v>7</v>
      </c>
      <c r="B36" t="s">
        <v>194</v>
      </c>
      <c r="C36" s="56">
        <v>200</v>
      </c>
    </row>
    <row r="37" spans="1:6" ht="14.5" x14ac:dyDescent="0.35">
      <c r="A37">
        <v>8</v>
      </c>
      <c r="B37" t="s">
        <v>195</v>
      </c>
      <c r="C37" s="56">
        <v>300</v>
      </c>
    </row>
    <row r="39" spans="1:6" ht="14.5" x14ac:dyDescent="0.35">
      <c r="A39" t="s">
        <v>57</v>
      </c>
      <c r="C39" s="57" t="s">
        <v>58</v>
      </c>
    </row>
    <row r="41" spans="1:6" ht="14.5" x14ac:dyDescent="0.35">
      <c r="A41" s="15" t="s">
        <v>198</v>
      </c>
    </row>
    <row r="42" spans="1:6" ht="14.5" x14ac:dyDescent="0.35">
      <c r="A42" t="s">
        <v>59</v>
      </c>
      <c r="C42" s="44">
        <f>'Key Licensing Rules'!$D$5</f>
        <v>0.01</v>
      </c>
      <c r="D42" s="45" t="s">
        <v>77</v>
      </c>
    </row>
    <row r="43" spans="1:6" ht="14.5" x14ac:dyDescent="0.35">
      <c r="A43" t="s">
        <v>61</v>
      </c>
      <c r="C43" s="1">
        <f>'Key Licensing Rules'!$D$6</f>
        <v>160</v>
      </c>
    </row>
    <row r="44" spans="1:6" ht="14.5" x14ac:dyDescent="0.35">
      <c r="A44" t="s">
        <v>199</v>
      </c>
      <c r="C44" s="44">
        <f>'Key Licensing Rules'!$D$7</f>
        <v>9.4999999999999998E-3</v>
      </c>
    </row>
    <row r="46" spans="1:6" ht="14.5" x14ac:dyDescent="0.35">
      <c r="A46" s="15" t="s">
        <v>200</v>
      </c>
    </row>
    <row r="47" spans="1:6" ht="14.5" x14ac:dyDescent="0.35">
      <c r="A47" s="41" t="s">
        <v>176</v>
      </c>
      <c r="B47" s="41" t="s">
        <v>177</v>
      </c>
      <c r="C47" s="41" t="s">
        <v>197</v>
      </c>
      <c r="D47" s="41" t="s">
        <v>187</v>
      </c>
      <c r="E47" s="41" t="s">
        <v>201</v>
      </c>
      <c r="F47" s="41" t="s">
        <v>202</v>
      </c>
    </row>
    <row r="48" spans="1:6" ht="14.5" x14ac:dyDescent="0.35">
      <c r="A48">
        <v>1</v>
      </c>
      <c r="B48" t="s">
        <v>188</v>
      </c>
      <c r="C48" s="14">
        <f t="shared" ref="C48:C55" si="1">C30</f>
        <v>2000</v>
      </c>
      <c r="D48" s="14">
        <f t="shared" ref="D48:D55" si="2">L19</f>
        <v>1</v>
      </c>
      <c r="E48" s="14">
        <f t="shared" ref="E48:E55" si="3">C48*D48</f>
        <v>2000</v>
      </c>
      <c r="F48" s="2" t="str">
        <f t="shared" ref="F48:F55" si="4">IF(G19&gt;0,"Yes (autonomous)","No")</f>
        <v>No</v>
      </c>
    </row>
    <row r="49" spans="1:6" ht="14.5" x14ac:dyDescent="0.35">
      <c r="A49">
        <v>2</v>
      </c>
      <c r="B49" t="s">
        <v>189</v>
      </c>
      <c r="C49" s="14">
        <f t="shared" si="1"/>
        <v>3000</v>
      </c>
      <c r="D49" s="14">
        <f t="shared" si="2"/>
        <v>2</v>
      </c>
      <c r="E49" s="14">
        <f t="shared" si="3"/>
        <v>6000</v>
      </c>
      <c r="F49" s="2" t="str">
        <f t="shared" si="4"/>
        <v>No</v>
      </c>
    </row>
    <row r="50" spans="1:6" ht="14.5" x14ac:dyDescent="0.35">
      <c r="A50">
        <v>3</v>
      </c>
      <c r="B50" t="s">
        <v>190</v>
      </c>
      <c r="C50" s="14">
        <f t="shared" si="1"/>
        <v>2000</v>
      </c>
      <c r="D50" s="14">
        <f t="shared" si="2"/>
        <v>12</v>
      </c>
      <c r="E50" s="14">
        <f t="shared" si="3"/>
        <v>24000</v>
      </c>
      <c r="F50" s="2" t="str">
        <f t="shared" si="4"/>
        <v>No</v>
      </c>
    </row>
    <row r="51" spans="1:6" ht="14.5" x14ac:dyDescent="0.35">
      <c r="A51">
        <v>4</v>
      </c>
      <c r="B51" t="s">
        <v>191</v>
      </c>
      <c r="C51" s="14">
        <f t="shared" si="1"/>
        <v>1500</v>
      </c>
      <c r="D51" s="14">
        <f t="shared" si="2"/>
        <v>7</v>
      </c>
      <c r="E51" s="14">
        <f t="shared" si="3"/>
        <v>10500</v>
      </c>
      <c r="F51" s="2" t="str">
        <f t="shared" si="4"/>
        <v>No</v>
      </c>
    </row>
    <row r="52" spans="1:6" ht="14.5" x14ac:dyDescent="0.35">
      <c r="A52">
        <v>5</v>
      </c>
      <c r="B52" t="s">
        <v>192</v>
      </c>
      <c r="C52" s="14">
        <f t="shared" si="1"/>
        <v>1000</v>
      </c>
      <c r="D52" s="14">
        <f t="shared" si="2"/>
        <v>22</v>
      </c>
      <c r="E52" s="14">
        <f t="shared" si="3"/>
        <v>22000</v>
      </c>
      <c r="F52" s="2" t="str">
        <f t="shared" si="4"/>
        <v>No</v>
      </c>
    </row>
    <row r="53" spans="1:6" ht="14.5" x14ac:dyDescent="0.35">
      <c r="A53">
        <v>6</v>
      </c>
      <c r="B53" t="s">
        <v>193</v>
      </c>
      <c r="C53" s="14">
        <f t="shared" si="1"/>
        <v>500</v>
      </c>
      <c r="D53" s="14">
        <f t="shared" si="2"/>
        <v>77</v>
      </c>
      <c r="E53" s="14">
        <f t="shared" si="3"/>
        <v>38500</v>
      </c>
      <c r="F53" s="2" t="str">
        <f t="shared" si="4"/>
        <v>Yes (autonomous)</v>
      </c>
    </row>
    <row r="54" spans="1:6" ht="14.5" x14ac:dyDescent="0.35">
      <c r="A54">
        <v>7</v>
      </c>
      <c r="B54" t="s">
        <v>194</v>
      </c>
      <c r="C54" s="14">
        <f t="shared" si="1"/>
        <v>200</v>
      </c>
      <c r="D54" s="14">
        <f t="shared" si="2"/>
        <v>27</v>
      </c>
      <c r="E54" s="14">
        <f t="shared" si="3"/>
        <v>5400</v>
      </c>
      <c r="F54" s="2" t="str">
        <f t="shared" si="4"/>
        <v>No</v>
      </c>
    </row>
    <row r="55" spans="1:6" ht="14.5" x14ac:dyDescent="0.35">
      <c r="A55">
        <v>8</v>
      </c>
      <c r="B55" t="s">
        <v>195</v>
      </c>
      <c r="C55" s="14">
        <f t="shared" si="1"/>
        <v>300</v>
      </c>
      <c r="D55" s="14">
        <f t="shared" si="2"/>
        <v>42</v>
      </c>
      <c r="E55" s="14">
        <f t="shared" si="3"/>
        <v>12600</v>
      </c>
      <c r="F55" s="2" t="str">
        <f t="shared" si="4"/>
        <v>Yes (autonomous)</v>
      </c>
    </row>
    <row r="57" spans="1:6" ht="14.5" x14ac:dyDescent="0.35">
      <c r="A57" s="15" t="s">
        <v>203</v>
      </c>
    </row>
    <row r="58" spans="1:6" ht="14.5" x14ac:dyDescent="0.35">
      <c r="A58" t="s">
        <v>204</v>
      </c>
      <c r="C58" s="46">
        <f>E48+E49+E50+E51+E52</f>
        <v>64500</v>
      </c>
    </row>
    <row r="59" spans="1:6" ht="14.5" x14ac:dyDescent="0.35">
      <c r="A59" t="s">
        <v>205</v>
      </c>
      <c r="C59" s="46">
        <f>E53+E55</f>
        <v>51100</v>
      </c>
    </row>
    <row r="60" spans="1:6" ht="14.5" x14ac:dyDescent="0.35">
      <c r="A60" t="s">
        <v>206</v>
      </c>
      <c r="C60" s="46">
        <f>E54</f>
        <v>5400</v>
      </c>
    </row>
    <row r="61" spans="1:6" ht="14.5" x14ac:dyDescent="0.35">
      <c r="A61" s="15" t="s">
        <v>207</v>
      </c>
      <c r="B61" s="15"/>
      <c r="C61" s="47">
        <f>SUM(E48:E55)</f>
        <v>121000</v>
      </c>
    </row>
    <row r="63" spans="1:6" ht="14.5" x14ac:dyDescent="0.35">
      <c r="A63" t="s">
        <v>66</v>
      </c>
      <c r="C63" t="str">
        <f>IF(C39="Licensed","Yes","No")</f>
        <v>No</v>
      </c>
    </row>
    <row r="64" spans="1:6" ht="14.5" x14ac:dyDescent="0.35">
      <c r="A64" t="s">
        <v>208</v>
      </c>
      <c r="C64" s="46">
        <f>IF(C63="Yes",0,C58+C60)</f>
        <v>69900</v>
      </c>
    </row>
    <row r="65" spans="1:6" ht="14.5" x14ac:dyDescent="0.35">
      <c r="A65" t="s">
        <v>209</v>
      </c>
      <c r="C65" s="46">
        <f>C59</f>
        <v>51100</v>
      </c>
      <c r="D65" s="48" t="s">
        <v>210</v>
      </c>
    </row>
    <row r="66" spans="1:6" ht="14.5" x14ac:dyDescent="0.35">
      <c r="A66" s="15" t="s">
        <v>211</v>
      </c>
      <c r="B66" s="15"/>
      <c r="C66" s="49">
        <f>C64+C65</f>
        <v>121000</v>
      </c>
    </row>
    <row r="68" spans="1:6" ht="14.5" x14ac:dyDescent="0.35">
      <c r="A68" s="15" t="s">
        <v>68</v>
      </c>
      <c r="E68" s="24" t="s">
        <v>212</v>
      </c>
    </row>
    <row r="69" spans="1:6" ht="14.5" x14ac:dyDescent="0.35">
      <c r="A69" s="41" t="s">
        <v>69</v>
      </c>
      <c r="B69" s="41" t="s">
        <v>34</v>
      </c>
      <c r="C69" s="41" t="s">
        <v>35</v>
      </c>
      <c r="E69" s="41" t="s">
        <v>32</v>
      </c>
      <c r="F69" s="41" t="s">
        <v>34</v>
      </c>
    </row>
    <row r="70" spans="1:6" ht="14.5" x14ac:dyDescent="0.35">
      <c r="A70" t="s">
        <v>7</v>
      </c>
      <c r="B70" s="13">
        <f>C66*'Key Licensing Rules'!$D$5</f>
        <v>1210</v>
      </c>
      <c r="C70" s="13">
        <f>B70*12</f>
        <v>14520</v>
      </c>
      <c r="E70" t="s">
        <v>39</v>
      </c>
      <c r="F70" s="1">
        <f>B70</f>
        <v>1210</v>
      </c>
    </row>
    <row r="71" spans="1:6" ht="14.5" x14ac:dyDescent="0.35">
      <c r="A71" t="s">
        <v>40</v>
      </c>
      <c r="B71" s="13">
        <f>IF(C66&lt;25000, C66*('Key Licensing Rules'!$D$6/25000), CEILING(C66/25000,1)*'Key Licensing Rules'!$D$6)</f>
        <v>800</v>
      </c>
      <c r="C71" s="13">
        <f>B71*12</f>
        <v>9600</v>
      </c>
      <c r="E71" t="s">
        <v>40</v>
      </c>
      <c r="F71" s="1">
        <f>B71</f>
        <v>800</v>
      </c>
    </row>
    <row r="72" spans="1:6" ht="14.5" x14ac:dyDescent="0.35">
      <c r="A72" t="s">
        <v>41</v>
      </c>
      <c r="B72" s="13">
        <f>C66*'Key Licensing Rules'!$D$7</f>
        <v>1149.5</v>
      </c>
      <c r="C72" s="13">
        <f>B72*12</f>
        <v>13794</v>
      </c>
      <c r="E72" t="s">
        <v>41</v>
      </c>
      <c r="F72" s="1">
        <f>B72</f>
        <v>1149.5</v>
      </c>
    </row>
    <row r="73" spans="1:6" ht="14.5" x14ac:dyDescent="0.35">
      <c r="A73" t="s">
        <v>43</v>
      </c>
      <c r="B73" s="13">
        <f>IF(C66&lt;25000, MIN(C66*'Key Licensing Rules'!$D$5, C66*('Key Licensing Rules'!$D$6/25000)), QUOTIENT(C66,25000)*'Key Licensing Rules'!$D$6 + MOD(C66,25000)*'Key Licensing Rules'!$D$5)</f>
        <v>850</v>
      </c>
      <c r="C73" s="13">
        <f>B73*12</f>
        <v>10200</v>
      </c>
      <c r="D73" s="50" t="s">
        <v>213</v>
      </c>
      <c r="E73" t="s">
        <v>45</v>
      </c>
      <c r="F73" s="1">
        <f>B73</f>
        <v>850</v>
      </c>
    </row>
    <row r="74" spans="1:6" ht="14.5" x14ac:dyDescent="0.35">
      <c r="A74" t="s">
        <v>13</v>
      </c>
      <c r="B74" s="13">
        <f>IF(C66&lt;25000, MIN(C66*'Key Licensing Rules'!$D$7, C66*('Key Licensing Rules'!$D$6/25000)), QUOTIENT(C66,25000)*'Key Licensing Rules'!$D$6 + MOD(C66,25000)*'Key Licensing Rules'!$D$7)</f>
        <v>839.5</v>
      </c>
      <c r="C74" s="13">
        <f>B74*12</f>
        <v>10074</v>
      </c>
      <c r="D74" s="50" t="s">
        <v>214</v>
      </c>
      <c r="E74" t="s">
        <v>47</v>
      </c>
      <c r="F74" s="1">
        <f>B74</f>
        <v>839.5</v>
      </c>
    </row>
    <row r="76" spans="1:6" ht="14.5" x14ac:dyDescent="0.35">
      <c r="A76" s="15" t="s">
        <v>71</v>
      </c>
    </row>
    <row r="77" spans="1:6" ht="14.5" x14ac:dyDescent="0.35">
      <c r="A77" s="51" t="str">
        <f>INDEX(A70:A74, MATCH(MIN(B70:B74), B70:B74, 0)) &amp; " is cheapest"</f>
        <v>Capacity Packs is cheapest</v>
      </c>
      <c r="B77" s="51" t="str">
        <f>"Monthly: " &amp; TEXT(MIN(B70:B74),"[$$-en-US]#,##0.00") &amp; " | Annual: " &amp; TEXT(MIN(B70:B74)*12,"[$$-en-US]#,##0.00")</f>
        <v>Monthly: $800.00 | Annual: $9,600.00</v>
      </c>
    </row>
    <row r="78" spans="1:6" ht="15" customHeight="1" x14ac:dyDescent="0.35">
      <c r="A78" t="s">
        <v>215</v>
      </c>
    </row>
    <row r="79" spans="1:6" ht="14.5" x14ac:dyDescent="0.35">
      <c r="A79" s="15" t="s">
        <v>216</v>
      </c>
    </row>
    <row r="80" spans="1:6" ht="14.5" x14ac:dyDescent="0.35">
      <c r="A80" s="41" t="s">
        <v>176</v>
      </c>
      <c r="B80" s="41" t="s">
        <v>217</v>
      </c>
      <c r="C80" s="41" t="s">
        <v>187</v>
      </c>
      <c r="D80" s="41" t="s">
        <v>218</v>
      </c>
      <c r="E80" s="41" t="s">
        <v>201</v>
      </c>
      <c r="F80" s="41" t="s">
        <v>219</v>
      </c>
    </row>
    <row r="81" spans="1:6" ht="14.5" x14ac:dyDescent="0.35">
      <c r="A81">
        <f t="shared" ref="A81:B88" si="5">A48</f>
        <v>1</v>
      </c>
      <c r="B81" t="str">
        <f t="shared" si="5"/>
        <v>Simple FAQ (classic)</v>
      </c>
      <c r="C81" s="14">
        <f t="shared" ref="C81:C88" si="6">D48</f>
        <v>1</v>
      </c>
      <c r="D81" s="14">
        <f t="shared" ref="D81:D88" si="7">C48</f>
        <v>2000</v>
      </c>
      <c r="E81" s="14">
        <f t="shared" ref="E81:E88" si="8">E48</f>
        <v>2000</v>
      </c>
      <c r="F81" s="13">
        <f>E81*'Key Licensing Rules'!$D$5</f>
        <v>20</v>
      </c>
    </row>
    <row r="82" spans="1:6" ht="14.5" x14ac:dyDescent="0.35">
      <c r="A82">
        <f t="shared" si="5"/>
        <v>2</v>
      </c>
      <c r="B82" t="str">
        <f t="shared" si="5"/>
        <v>AI-generated response</v>
      </c>
      <c r="C82" s="14">
        <f t="shared" si="6"/>
        <v>2</v>
      </c>
      <c r="D82" s="14">
        <f t="shared" si="7"/>
        <v>3000</v>
      </c>
      <c r="E82" s="14">
        <f t="shared" si="8"/>
        <v>6000</v>
      </c>
      <c r="F82" s="13">
        <f>E82*'Key Licensing Rules'!$D$5</f>
        <v>60</v>
      </c>
    </row>
    <row r="83" spans="1:6" ht="14.5" x14ac:dyDescent="0.35">
      <c r="A83">
        <f t="shared" si="5"/>
        <v>3</v>
      </c>
      <c r="B83" t="str">
        <f t="shared" si="5"/>
        <v>Generative + Graph grounding</v>
      </c>
      <c r="C83" s="14">
        <f t="shared" si="6"/>
        <v>12</v>
      </c>
      <c r="D83" s="14">
        <f t="shared" si="7"/>
        <v>2000</v>
      </c>
      <c r="E83" s="14">
        <f t="shared" si="8"/>
        <v>24000</v>
      </c>
      <c r="F83" s="13">
        <f>E83*'Key Licensing Rules'!$D$5</f>
        <v>240</v>
      </c>
    </row>
    <row r="84" spans="1:6" ht="14.5" x14ac:dyDescent="0.35">
      <c r="A84">
        <f t="shared" si="5"/>
        <v>4</v>
      </c>
      <c r="B84" t="str">
        <f t="shared" si="5"/>
        <v>Generative + 1 API action</v>
      </c>
      <c r="C84" s="14">
        <f t="shared" si="6"/>
        <v>7</v>
      </c>
      <c r="D84" s="14">
        <f t="shared" si="7"/>
        <v>1500</v>
      </c>
      <c r="E84" s="14">
        <f t="shared" si="8"/>
        <v>10500</v>
      </c>
      <c r="F84" s="13">
        <f>E84*'Key Licensing Rules'!$D$5</f>
        <v>105</v>
      </c>
    </row>
    <row r="85" spans="1:6" ht="14.5" x14ac:dyDescent="0.35">
      <c r="A85">
        <f t="shared" si="5"/>
        <v>5</v>
      </c>
      <c r="B85" t="str">
        <f t="shared" si="5"/>
        <v>Generative + Graph + 2 actions</v>
      </c>
      <c r="C85" s="14">
        <f t="shared" si="6"/>
        <v>22</v>
      </c>
      <c r="D85" s="14">
        <f t="shared" si="7"/>
        <v>1000</v>
      </c>
      <c r="E85" s="14">
        <f t="shared" si="8"/>
        <v>22000</v>
      </c>
      <c r="F85" s="13">
        <f>E85*'Key Licensing Rules'!$D$5</f>
        <v>220</v>
      </c>
    </row>
    <row r="86" spans="1:6" ht="14.5" x14ac:dyDescent="0.35">
      <c r="A86">
        <f t="shared" si="5"/>
        <v>6</v>
      </c>
      <c r="B86" t="str">
        <f t="shared" si="5"/>
        <v>Full autonomous invoice processing</v>
      </c>
      <c r="C86" s="14">
        <f t="shared" si="6"/>
        <v>77</v>
      </c>
      <c r="D86" s="14">
        <f t="shared" si="7"/>
        <v>500</v>
      </c>
      <c r="E86" s="14">
        <f t="shared" si="8"/>
        <v>38500</v>
      </c>
      <c r="F86" s="13">
        <f>E86*'Key Licensing Rules'!$D$5</f>
        <v>385</v>
      </c>
    </row>
    <row r="87" spans="1:6" ht="14.5" x14ac:dyDescent="0.35">
      <c r="A87">
        <f t="shared" si="5"/>
        <v>7</v>
      </c>
      <c r="B87" t="str">
        <f t="shared" si="5"/>
        <v>Deep reasoning + action + Graph</v>
      </c>
      <c r="C87" s="14">
        <f t="shared" si="6"/>
        <v>27</v>
      </c>
      <c r="D87" s="14">
        <f t="shared" si="7"/>
        <v>200</v>
      </c>
      <c r="E87" s="14">
        <f t="shared" si="8"/>
        <v>5400</v>
      </c>
      <c r="F87" s="13">
        <f>E87*'Key Licensing Rules'!$D$5</f>
        <v>54</v>
      </c>
    </row>
    <row r="88" spans="1:6" ht="14.5" x14ac:dyDescent="0.35">
      <c r="A88">
        <f t="shared" si="5"/>
        <v>8</v>
      </c>
      <c r="B88" t="str">
        <f t="shared" si="5"/>
        <v>Autonomous + translation + 3 actions</v>
      </c>
      <c r="C88" s="14">
        <f t="shared" si="6"/>
        <v>42</v>
      </c>
      <c r="D88" s="14">
        <f t="shared" si="7"/>
        <v>300</v>
      </c>
      <c r="E88" s="14">
        <f t="shared" si="8"/>
        <v>12600</v>
      </c>
      <c r="F88" s="13">
        <f>E88*'Key Licensing Rules'!$D$5</f>
        <v>126</v>
      </c>
    </row>
    <row r="89" spans="1:6" ht="14.5" x14ac:dyDescent="0.35">
      <c r="A89" s="52" t="s">
        <v>220</v>
      </c>
      <c r="B89" s="52"/>
      <c r="C89" s="53"/>
      <c r="D89" s="53">
        <f>SUM(D81:D88)</f>
        <v>10500</v>
      </c>
      <c r="E89" s="53">
        <f>SUM(E81:E88)</f>
        <v>121000</v>
      </c>
      <c r="F89" s="54">
        <f>SUM(F81:F88)</f>
        <v>1210</v>
      </c>
    </row>
    <row r="90" spans="1:6" ht="15" customHeight="1" x14ac:dyDescent="0.35">
      <c r="A90" s="55" t="s">
        <v>221</v>
      </c>
    </row>
  </sheetData>
  <sheetProtection algorithmName="SHA-512" hashValue="vwPCsqhHm9SJKylZKr7vHqhdeHn25wgOiQ0PLs6xSPNRyHY6Orc52SQSYbPJRIKxqhy68/ku//E/wjuRc+a0Kg==" saltValue="0OJqfZqo7DGdFo6NlMgXVQ==" spinCount="100000" sheet="1" objects="1" scenarios="1"/>
  <dataValidations count="1">
    <dataValidation type="list" allowBlank="1" showInputMessage="1" showErrorMessage="1" errorTitle="Invalid Entry" error="Please select 'Licensed' or 'Unlicensed' from the dropdown list." sqref="C39" xr:uid="{A57E4638-6BD2-469C-B305-10BC3D347937}">
      <formula1>"""Licensed,Unlicensed"""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E78A-6AF6-4229-A4C6-241D3EA09408}">
  <sheetPr codeName="Sheet11"/>
  <dimension ref="A1:G36"/>
  <sheetViews>
    <sheetView workbookViewId="0"/>
  </sheetViews>
  <sheetFormatPr defaultRowHeight="14.5" x14ac:dyDescent="0.35"/>
  <cols>
    <col min="1" max="1" width="98.26953125" bestFit="1" customWidth="1"/>
    <col min="2" max="2" width="12.7265625" bestFit="1" customWidth="1"/>
    <col min="3" max="3" width="11.54296875" bestFit="1" customWidth="1"/>
  </cols>
  <sheetData>
    <row r="1" spans="1:4" ht="18.5" x14ac:dyDescent="0.45">
      <c r="A1" s="18" t="s">
        <v>222</v>
      </c>
    </row>
    <row r="3" spans="1:4" x14ac:dyDescent="0.35">
      <c r="A3" s="19" t="s">
        <v>223</v>
      </c>
    </row>
    <row r="5" spans="1:4" x14ac:dyDescent="0.35">
      <c r="A5" s="20" t="s">
        <v>224</v>
      </c>
    </row>
    <row r="7" spans="1:4" x14ac:dyDescent="0.35">
      <c r="A7" s="21" t="s">
        <v>52</v>
      </c>
      <c r="D7" s="22" t="s">
        <v>53</v>
      </c>
    </row>
    <row r="8" spans="1:4" x14ac:dyDescent="0.35">
      <c r="A8" s="15" t="s">
        <v>225</v>
      </c>
      <c r="B8" s="4">
        <v>2000</v>
      </c>
    </row>
    <row r="9" spans="1:4" x14ac:dyDescent="0.35">
      <c r="A9" s="15" t="s">
        <v>226</v>
      </c>
      <c r="B9" s="4">
        <v>3</v>
      </c>
    </row>
    <row r="10" spans="1:4" x14ac:dyDescent="0.35">
      <c r="A10" s="15" t="s">
        <v>59</v>
      </c>
      <c r="B10" s="23">
        <f>'Key Licensing Rules'!$D$5</f>
        <v>0.01</v>
      </c>
      <c r="C10" s="24" t="s">
        <v>77</v>
      </c>
    </row>
    <row r="11" spans="1:4" x14ac:dyDescent="0.35">
      <c r="A11" s="15" t="s">
        <v>61</v>
      </c>
      <c r="B11" s="25">
        <f>'Key Licensing Rules'!$D$6</f>
        <v>160</v>
      </c>
      <c r="C11" s="24" t="s">
        <v>77</v>
      </c>
    </row>
    <row r="12" spans="1:4" x14ac:dyDescent="0.35">
      <c r="A12" s="15" t="s">
        <v>62</v>
      </c>
      <c r="B12" s="26">
        <v>25000</v>
      </c>
    </row>
    <row r="13" spans="1:4" x14ac:dyDescent="0.35">
      <c r="B13" s="2"/>
    </row>
    <row r="14" spans="1:4" x14ac:dyDescent="0.35">
      <c r="A14" s="58" t="s">
        <v>227</v>
      </c>
      <c r="B14" s="2"/>
    </row>
    <row r="15" spans="1:4" x14ac:dyDescent="0.35">
      <c r="B15" s="2"/>
    </row>
    <row r="16" spans="1:4" x14ac:dyDescent="0.35">
      <c r="A16" s="21" t="s">
        <v>63</v>
      </c>
      <c r="B16" s="2"/>
    </row>
    <row r="17" spans="1:7" x14ac:dyDescent="0.35">
      <c r="A17" t="s">
        <v>228</v>
      </c>
      <c r="B17" s="2">
        <f>B8*B9</f>
        <v>6000</v>
      </c>
    </row>
    <row r="18" spans="1:7" x14ac:dyDescent="0.35">
      <c r="A18" t="s">
        <v>229</v>
      </c>
      <c r="B18" s="2">
        <v>2</v>
      </c>
    </row>
    <row r="19" spans="1:7" x14ac:dyDescent="0.35">
      <c r="A19" t="s">
        <v>114</v>
      </c>
      <c r="B19" s="28">
        <f>B17*B18</f>
        <v>12000</v>
      </c>
    </row>
    <row r="20" spans="1:7" x14ac:dyDescent="0.35">
      <c r="B20" s="13"/>
      <c r="C20" s="1"/>
      <c r="D20" s="1"/>
    </row>
    <row r="21" spans="1:7" x14ac:dyDescent="0.35">
      <c r="A21" s="15" t="s">
        <v>68</v>
      </c>
      <c r="B21" s="2"/>
    </row>
    <row r="22" spans="1:7" x14ac:dyDescent="0.35">
      <c r="A22" s="11" t="s">
        <v>69</v>
      </c>
      <c r="B22" s="27" t="s">
        <v>34</v>
      </c>
      <c r="C22" s="11" t="s">
        <v>35</v>
      </c>
      <c r="E22" s="15" t="s">
        <v>32</v>
      </c>
      <c r="F22" s="15" t="s">
        <v>34</v>
      </c>
    </row>
    <row r="23" spans="1:7" x14ac:dyDescent="0.35">
      <c r="A23" t="s">
        <v>7</v>
      </c>
      <c r="B23" s="13">
        <f>B19*'Key Licensing Rules'!$D$5</f>
        <v>120</v>
      </c>
      <c r="C23" s="13">
        <f>B23*12</f>
        <v>1440</v>
      </c>
      <c r="D23" s="2"/>
      <c r="E23" s="2" t="s">
        <v>39</v>
      </c>
      <c r="F23" s="13">
        <f>B23</f>
        <v>120</v>
      </c>
      <c r="G23" s="2"/>
    </row>
    <row r="24" spans="1:7" x14ac:dyDescent="0.35">
      <c r="A24" t="s">
        <v>40</v>
      </c>
      <c r="B24" s="13">
        <f>IF(B19&lt;25000, B19*('Key Licensing Rules'!$D$6/25000), CEILING(B19/25000,1)*'Key Licensing Rules'!$D$6)</f>
        <v>76.8</v>
      </c>
      <c r="C24" s="13">
        <f>B24*12</f>
        <v>921.59999999999991</v>
      </c>
      <c r="D24" s="2"/>
      <c r="E24" s="2" t="s">
        <v>40</v>
      </c>
      <c r="F24" s="13">
        <f>B24</f>
        <v>76.8</v>
      </c>
      <c r="G24" s="2"/>
    </row>
    <row r="25" spans="1:7" x14ac:dyDescent="0.35">
      <c r="A25" t="s">
        <v>41</v>
      </c>
      <c r="B25" s="13">
        <f>B19*'Key Licensing Rules'!$D$7</f>
        <v>114</v>
      </c>
      <c r="C25" s="13">
        <f>B25*12</f>
        <v>1368</v>
      </c>
      <c r="D25" s="2"/>
      <c r="E25" s="2" t="s">
        <v>41</v>
      </c>
      <c r="F25" s="13">
        <f>B25</f>
        <v>114</v>
      </c>
      <c r="G25" s="2"/>
    </row>
    <row r="26" spans="1:7" x14ac:dyDescent="0.35">
      <c r="A26" t="s">
        <v>43</v>
      </c>
      <c r="B26" s="13">
        <f>IF(B19&lt;25000, MIN(B19*'Key Licensing Rules'!$D$5, B19*('Key Licensing Rules'!$D$6/25000)), QUOTIENT(B19,25000)*'Key Licensing Rules'!$D$6 + MOD(B19,25000)*'Key Licensing Rules'!$D$5)</f>
        <v>76.8</v>
      </c>
      <c r="C26" s="13">
        <f>B26*12</f>
        <v>921.59999999999991</v>
      </c>
      <c r="D26" s="2"/>
      <c r="E26" s="2" t="s">
        <v>45</v>
      </c>
      <c r="F26" s="13">
        <f>B26</f>
        <v>76.8</v>
      </c>
      <c r="G26" s="2"/>
    </row>
    <row r="27" spans="1:7" x14ac:dyDescent="0.35">
      <c r="A27" t="s">
        <v>13</v>
      </c>
      <c r="B27" s="13">
        <f>IF(B19&lt;25000, MIN(B19*'Key Licensing Rules'!$D$7, B19*('Key Licensing Rules'!$D$6/25000)), QUOTIENT(B19,25000)*'Key Licensing Rules'!$D$6 + MOD(B19,25000)*'Key Licensing Rules'!$D$7)</f>
        <v>76.8</v>
      </c>
      <c r="C27" s="13">
        <f>B27*12</f>
        <v>921.59999999999991</v>
      </c>
      <c r="D27" s="2"/>
      <c r="E27" s="2" t="s">
        <v>47</v>
      </c>
      <c r="F27" s="13">
        <f>B27</f>
        <v>76.8</v>
      </c>
      <c r="G27" s="2"/>
    </row>
    <row r="28" spans="1:7" x14ac:dyDescent="0.35">
      <c r="B28" s="2"/>
      <c r="C28" s="2"/>
      <c r="D28" s="2"/>
      <c r="E28" s="2"/>
      <c r="F28" s="2"/>
      <c r="G28" s="2"/>
    </row>
    <row r="29" spans="1:7" x14ac:dyDescent="0.35">
      <c r="A29" s="15" t="s">
        <v>71</v>
      </c>
      <c r="B29" s="2"/>
      <c r="C29" s="2"/>
      <c r="D29" s="2"/>
      <c r="E29" s="2"/>
      <c r="F29" s="2"/>
      <c r="G29" s="2"/>
    </row>
    <row r="30" spans="1:7" x14ac:dyDescent="0.35">
      <c r="A30" s="17" t="s">
        <v>71</v>
      </c>
      <c r="B30" s="2" t="str">
        <f>"Monthly: "&amp;TEXT(MIN(B23:B27),"[$$-en-US]#,##0.00")&amp;" | Annual: "&amp;TEXT(MIN(B23:B27)*12,"[$$-en-US]#,##0.00")</f>
        <v>Monthly: $76.80 | Annual: $921.60</v>
      </c>
      <c r="C30" s="2"/>
      <c r="D30" s="2"/>
      <c r="E30" s="2"/>
      <c r="F30" s="2"/>
      <c r="G30" s="2"/>
    </row>
    <row r="31" spans="1:7" x14ac:dyDescent="0.35">
      <c r="A31" t="str">
        <f>INDEX(A23:A27,MATCH(MIN(B23:B27),B23:B27,0))&amp;" is cheapest"</f>
        <v>Capacity Packs is cheapest</v>
      </c>
      <c r="B31" s="2" t="str">
        <f>"Monthly: "&amp;TEXT(MIN(B23:B27),"[$$-en-US]#,##0.00")&amp;" | Annual: "&amp;TEXT(MIN(B23:B27)*12,"[$$-en-US]#,##0.00")</f>
        <v>Monthly: $76.80 | Annual: $921.60</v>
      </c>
      <c r="C31" s="2"/>
      <c r="D31" s="2"/>
      <c r="E31" s="2"/>
      <c r="F31" s="2"/>
      <c r="G31" s="2"/>
    </row>
    <row r="32" spans="1:7" x14ac:dyDescent="0.35">
      <c r="A32" t="s">
        <v>230</v>
      </c>
      <c r="B32" s="2"/>
      <c r="C32" s="2"/>
      <c r="D32" s="2"/>
      <c r="E32" s="2"/>
      <c r="F32" s="2"/>
      <c r="G32" s="2"/>
    </row>
    <row r="33" spans="2:7" x14ac:dyDescent="0.35">
      <c r="B33" s="2"/>
      <c r="C33" s="2"/>
      <c r="D33" s="2"/>
      <c r="E33" s="2"/>
      <c r="F33" s="2"/>
      <c r="G33" s="2"/>
    </row>
    <row r="34" spans="2:7" x14ac:dyDescent="0.35">
      <c r="B34" s="2"/>
      <c r="C34" s="2"/>
      <c r="D34" s="2"/>
      <c r="E34" s="2"/>
      <c r="F34" s="2"/>
      <c r="G34" s="2"/>
    </row>
    <row r="35" spans="2:7" x14ac:dyDescent="0.35">
      <c r="B35" s="2"/>
      <c r="C35" s="2"/>
      <c r="D35" s="2"/>
      <c r="E35" s="2"/>
      <c r="F35" s="2"/>
      <c r="G35" s="2"/>
    </row>
    <row r="36" spans="2:7" x14ac:dyDescent="0.35">
      <c r="B36" s="2"/>
      <c r="C36" s="2"/>
      <c r="D36" s="2"/>
      <c r="E36" s="2"/>
      <c r="F36" s="2"/>
    </row>
  </sheetData>
  <sheetProtection algorithmName="SHA-512" hashValue="0bpv2UrXIuuI+YH/AO6KhqpDgSGeFI53jiRrnsF7vi4BH5t0S2/dR68VMQtbRkrSC4cYbN7LB12rTVM8pD9X4g==" saltValue="Tqcqgx7Qpv8jcGeHFzNquQ==" spinCount="100000" sheet="1" objects="1" scenarios="1"/>
  <dataValidations count="1">
    <dataValidation type="decimal" allowBlank="1" showInputMessage="1" showErrorMessage="1" errorTitle="Invalid Entry" error="Please enter a positive number only." promptTitle="Input Required" prompt="Enter a positive number" sqref="B8:B9" xr:uid="{7F5A3481-3573-4D98-9874-F6D30F97999F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70A2-DF42-47E0-8178-3DBD5F6D77E4}">
  <sheetPr codeName="Sheet12"/>
  <dimension ref="A1:G36"/>
  <sheetViews>
    <sheetView workbookViewId="0">
      <selection activeCell="C8" sqref="C8"/>
    </sheetView>
  </sheetViews>
  <sheetFormatPr defaultRowHeight="14.5" x14ac:dyDescent="0.35"/>
  <cols>
    <col min="1" max="1" width="88.54296875" bestFit="1" customWidth="1"/>
    <col min="2" max="2" width="13.453125" bestFit="1" customWidth="1"/>
    <col min="3" max="3" width="33" bestFit="1" customWidth="1"/>
  </cols>
  <sheetData>
    <row r="1" spans="1:4" ht="18.5" x14ac:dyDescent="0.45">
      <c r="A1" s="18" t="s">
        <v>231</v>
      </c>
    </row>
    <row r="3" spans="1:4" x14ac:dyDescent="0.35">
      <c r="A3" s="19" t="s">
        <v>232</v>
      </c>
    </row>
    <row r="5" spans="1:4" x14ac:dyDescent="0.35">
      <c r="A5" s="59" t="s">
        <v>233</v>
      </c>
    </row>
    <row r="6" spans="1:4" x14ac:dyDescent="0.35">
      <c r="A6" s="11" t="s">
        <v>234</v>
      </c>
      <c r="B6" s="11" t="s">
        <v>235</v>
      </c>
      <c r="C6" s="11" t="s">
        <v>236</v>
      </c>
    </row>
    <row r="7" spans="1:4" x14ac:dyDescent="0.35">
      <c r="A7" t="s">
        <v>237</v>
      </c>
      <c r="B7" s="2" t="s">
        <v>238</v>
      </c>
      <c r="C7" s="60" t="s">
        <v>239</v>
      </c>
    </row>
    <row r="8" spans="1:4" x14ac:dyDescent="0.35">
      <c r="A8" t="s">
        <v>240</v>
      </c>
      <c r="B8" s="2" t="s">
        <v>238</v>
      </c>
      <c r="C8" s="61" t="s">
        <v>241</v>
      </c>
    </row>
    <row r="9" spans="1:4" x14ac:dyDescent="0.35">
      <c r="B9" s="2"/>
    </row>
    <row r="10" spans="1:4" x14ac:dyDescent="0.35">
      <c r="A10" s="21" t="s">
        <v>52</v>
      </c>
      <c r="B10" s="2"/>
      <c r="D10" s="22" t="s">
        <v>53</v>
      </c>
    </row>
    <row r="11" spans="1:4" x14ac:dyDescent="0.35">
      <c r="A11" s="15" t="s">
        <v>242</v>
      </c>
      <c r="B11" s="4">
        <v>500</v>
      </c>
    </row>
    <row r="12" spans="1:4" x14ac:dyDescent="0.35">
      <c r="A12" s="15" t="s">
        <v>243</v>
      </c>
      <c r="B12" s="4">
        <v>5</v>
      </c>
    </row>
    <row r="13" spans="1:4" x14ac:dyDescent="0.35">
      <c r="A13" s="15" t="s">
        <v>244</v>
      </c>
      <c r="B13" s="4" t="s">
        <v>245</v>
      </c>
    </row>
    <row r="14" spans="1:4" x14ac:dyDescent="0.35">
      <c r="A14" s="15" t="s">
        <v>57</v>
      </c>
      <c r="B14" s="4" t="s">
        <v>58</v>
      </c>
    </row>
    <row r="15" spans="1:4" x14ac:dyDescent="0.35">
      <c r="A15" s="15" t="s">
        <v>59</v>
      </c>
      <c r="B15" s="23">
        <f>'Key Licensing Rules'!$D$5</f>
        <v>0.01</v>
      </c>
      <c r="C15" s="24" t="s">
        <v>77</v>
      </c>
    </row>
    <row r="16" spans="1:4" x14ac:dyDescent="0.35">
      <c r="A16" s="15" t="s">
        <v>61</v>
      </c>
      <c r="B16" s="25">
        <f>'Key Licensing Rules'!$D$6</f>
        <v>160</v>
      </c>
      <c r="C16" s="24" t="s">
        <v>77</v>
      </c>
    </row>
    <row r="17" spans="1:7" x14ac:dyDescent="0.35">
      <c r="A17" s="15" t="s">
        <v>62</v>
      </c>
      <c r="B17" s="26">
        <v>25000</v>
      </c>
    </row>
    <row r="18" spans="1:7" x14ac:dyDescent="0.35">
      <c r="B18" s="2"/>
    </row>
    <row r="19" spans="1:7" x14ac:dyDescent="0.35">
      <c r="A19" s="21" t="s">
        <v>63</v>
      </c>
      <c r="B19" s="2"/>
    </row>
    <row r="20" spans="1:7" x14ac:dyDescent="0.35">
      <c r="A20" s="15" t="s">
        <v>246</v>
      </c>
      <c r="B20" s="14">
        <f>B11*B12</f>
        <v>2500</v>
      </c>
      <c r="C20" s="1"/>
      <c r="D20" s="1"/>
    </row>
    <row r="21" spans="1:7" x14ac:dyDescent="0.35">
      <c r="A21" s="15" t="s">
        <v>247</v>
      </c>
      <c r="B21" s="14">
        <f>IF(UPPER(B14)="LICENSED",0,IF(UPPER(B13)="OFF",0,12))</f>
        <v>12</v>
      </c>
      <c r="C21" s="1" t="s">
        <v>248</v>
      </c>
      <c r="D21" s="1"/>
    </row>
    <row r="22" spans="1:7" x14ac:dyDescent="0.35">
      <c r="A22" s="15" t="s">
        <v>114</v>
      </c>
      <c r="B22" s="38">
        <f>B20*B21</f>
        <v>30000</v>
      </c>
      <c r="C22" s="1"/>
      <c r="D22" s="1"/>
    </row>
    <row r="23" spans="1:7" x14ac:dyDescent="0.35">
      <c r="B23" s="13"/>
      <c r="C23" s="13"/>
      <c r="D23" s="13"/>
      <c r="E23" s="2"/>
      <c r="F23" s="2"/>
      <c r="G23" s="2"/>
    </row>
    <row r="24" spans="1:7" x14ac:dyDescent="0.35">
      <c r="A24" s="15" t="s">
        <v>68</v>
      </c>
      <c r="B24" s="2"/>
      <c r="C24" s="2"/>
      <c r="D24" s="2"/>
      <c r="E24" s="2"/>
      <c r="F24" s="2"/>
      <c r="G24" s="2"/>
    </row>
    <row r="25" spans="1:7" x14ac:dyDescent="0.35">
      <c r="A25" s="11" t="s">
        <v>69</v>
      </c>
      <c r="B25" s="27" t="s">
        <v>34</v>
      </c>
      <c r="C25" s="27" t="s">
        <v>35</v>
      </c>
      <c r="D25" s="2"/>
      <c r="E25" s="28" t="s">
        <v>32</v>
      </c>
      <c r="F25" s="28" t="s">
        <v>34</v>
      </c>
      <c r="G25" s="2"/>
    </row>
    <row r="26" spans="1:7" x14ac:dyDescent="0.35">
      <c r="A26" s="15" t="s">
        <v>7</v>
      </c>
      <c r="B26" s="13">
        <f>B22*'Key Licensing Rules'!$D$5</f>
        <v>300</v>
      </c>
      <c r="C26" s="13">
        <f>B26*12</f>
        <v>3600</v>
      </c>
      <c r="D26" s="2"/>
      <c r="E26" s="2" t="s">
        <v>39</v>
      </c>
      <c r="F26" s="13">
        <f>B26</f>
        <v>300</v>
      </c>
      <c r="G26" s="2"/>
    </row>
    <row r="27" spans="1:7" x14ac:dyDescent="0.35">
      <c r="A27" s="15" t="s">
        <v>40</v>
      </c>
      <c r="B27" s="13">
        <f>IF(B22&lt;25000, B22*('Key Licensing Rules'!$D$6/25000), CEILING(B22/25000,1)*'Key Licensing Rules'!$D$6)</f>
        <v>320</v>
      </c>
      <c r="C27" s="13">
        <f>B27*12</f>
        <v>3840</v>
      </c>
      <c r="D27" s="2"/>
      <c r="E27" s="2" t="s">
        <v>40</v>
      </c>
      <c r="F27" s="13">
        <f>B27</f>
        <v>320</v>
      </c>
      <c r="G27" s="2"/>
    </row>
    <row r="28" spans="1:7" x14ac:dyDescent="0.35">
      <c r="A28" s="15" t="s">
        <v>41</v>
      </c>
      <c r="B28" s="13">
        <f>B22*'Key Licensing Rules'!$D$7</f>
        <v>285</v>
      </c>
      <c r="C28" s="13">
        <f>B28*12</f>
        <v>3420</v>
      </c>
      <c r="D28" s="2"/>
      <c r="E28" s="2" t="s">
        <v>41</v>
      </c>
      <c r="F28" s="13">
        <f>B28</f>
        <v>285</v>
      </c>
      <c r="G28" s="2"/>
    </row>
    <row r="29" spans="1:7" x14ac:dyDescent="0.35">
      <c r="A29" s="15" t="s">
        <v>43</v>
      </c>
      <c r="B29" s="13">
        <f>IF(B22&lt;25000, MIN(B22*'Key Licensing Rules'!$D$5, B22*('Key Licensing Rules'!$D$6/25000)), QUOTIENT(B22,25000)*'Key Licensing Rules'!$D$6 + MOD(B22,25000)*'Key Licensing Rules'!$D$5)</f>
        <v>210</v>
      </c>
      <c r="C29" s="13">
        <f>B29*12</f>
        <v>2520</v>
      </c>
      <c r="D29" s="2"/>
      <c r="E29" s="2" t="s">
        <v>45</v>
      </c>
      <c r="F29" s="13">
        <f>B29</f>
        <v>210</v>
      </c>
      <c r="G29" s="2"/>
    </row>
    <row r="30" spans="1:7" x14ac:dyDescent="0.35">
      <c r="A30" s="15" t="s">
        <v>13</v>
      </c>
      <c r="B30" s="13">
        <f>IF(B22&lt;25000, MIN(B22*'Key Licensing Rules'!$D$7, B22*('Key Licensing Rules'!$D$6/25000)), QUOTIENT(B22,25000)*'Key Licensing Rules'!$D$6 + MOD(B22,25000)*'Key Licensing Rules'!$D$7)</f>
        <v>207.5</v>
      </c>
      <c r="C30" s="13">
        <f>B30*12</f>
        <v>2490</v>
      </c>
      <c r="D30" s="2"/>
      <c r="E30" s="2" t="s">
        <v>47</v>
      </c>
      <c r="F30" s="13">
        <f>B30</f>
        <v>207.5</v>
      </c>
      <c r="G30" s="2"/>
    </row>
    <row r="31" spans="1:7" x14ac:dyDescent="0.35">
      <c r="B31" s="2"/>
      <c r="C31" s="2"/>
      <c r="D31" s="2"/>
      <c r="E31" s="2"/>
      <c r="F31" s="2"/>
      <c r="G31" s="2"/>
    </row>
    <row r="32" spans="1:7" x14ac:dyDescent="0.35">
      <c r="A32" s="15" t="s">
        <v>71</v>
      </c>
      <c r="B32" s="2"/>
      <c r="C32" s="2"/>
      <c r="D32" s="2"/>
      <c r="E32" s="2"/>
      <c r="F32" s="2"/>
      <c r="G32" s="2"/>
    </row>
    <row r="33" spans="1:7" x14ac:dyDescent="0.35">
      <c r="A33" s="17" t="s">
        <v>71</v>
      </c>
      <c r="B33" s="2" t="str">
        <f>"Monthly: "&amp;TEXT(MIN(B26:B30),"[$$-en-US]#,##0.00")&amp;" | Annual: "&amp;TEXT(MIN(B26:B30)*12,"[$$-en-US]#,##0.00")</f>
        <v>Monthly: $207.50 | Annual: $2,490.00</v>
      </c>
      <c r="C33" s="2"/>
      <c r="D33" s="2"/>
      <c r="E33" s="2"/>
      <c r="F33" s="2"/>
      <c r="G33" s="2"/>
    </row>
    <row r="34" spans="1:7" x14ac:dyDescent="0.35">
      <c r="A34" t="str">
        <f>INDEX(A26:A30,MATCH(MIN(B26:B30),B26:B30,0))&amp;" is cheapest"</f>
        <v>Hybrid (CP + P3) is cheapest</v>
      </c>
      <c r="B34" s="2" t="str">
        <f>"Monthly: "&amp;TEXT(MIN(B26:B30),"[$$-en-US]#,##0.00")&amp;" | Annual: "&amp;TEXT(MIN(B26:B30)*12,"[$$-en-US]#,##0.00")</f>
        <v>Monthly: $207.50 | Annual: $2,490.00</v>
      </c>
      <c r="C34" s="2"/>
      <c r="D34" s="2"/>
      <c r="E34" s="2"/>
      <c r="F34" s="2"/>
      <c r="G34" s="2"/>
    </row>
    <row r="35" spans="1:7" x14ac:dyDescent="0.35">
      <c r="A35" t="s">
        <v>249</v>
      </c>
      <c r="B35" s="2"/>
      <c r="C35" s="2"/>
      <c r="D35" s="2"/>
      <c r="E35" s="2"/>
      <c r="F35" s="2"/>
      <c r="G35" s="2"/>
    </row>
    <row r="36" spans="1:7" x14ac:dyDescent="0.35">
      <c r="B36" s="2"/>
      <c r="C36" s="2"/>
      <c r="D36" s="2"/>
      <c r="E36" s="2"/>
      <c r="F36" s="2"/>
    </row>
  </sheetData>
  <sheetProtection algorithmName="SHA-512" hashValue="I6Qt8JIm5dpyOeDAel31AuA705dxZKX2gwjaV2d3/hukHaCb8D1eYqkxhoN8i1M4QpR5SzFfCCv51oX07eTM/g==" saltValue="wKvYU/WcaJ7/et7q4XrbOQ==" spinCount="100000" sheet="1" objects="1" scenarios="1"/>
  <dataValidations count="1">
    <dataValidation type="decimal" allowBlank="1" showInputMessage="1" showErrorMessage="1" errorTitle="Invalid Entry" error="Please enter a positive number only." promptTitle="Input Required" prompt="Enter a positive number" sqref="B11:B12" xr:uid="{A21B6FE8-1F4D-4613-9CED-8018A69D70FB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4B83-5799-4EE7-BE8A-34D68AE7BA2D}">
  <sheetPr codeName="Sheet13"/>
  <dimension ref="A1:G36"/>
  <sheetViews>
    <sheetView workbookViewId="0"/>
  </sheetViews>
  <sheetFormatPr defaultRowHeight="14.5" x14ac:dyDescent="0.35"/>
  <cols>
    <col min="1" max="1" width="102.26953125" bestFit="1" customWidth="1"/>
    <col min="2" max="2" width="12.7265625" bestFit="1" customWidth="1"/>
    <col min="3" max="3" width="19.54296875" bestFit="1" customWidth="1"/>
  </cols>
  <sheetData>
    <row r="1" spans="1:4" ht="18.5" x14ac:dyDescent="0.45">
      <c r="A1" s="18" t="s">
        <v>250</v>
      </c>
    </row>
    <row r="3" spans="1:4" x14ac:dyDescent="0.35">
      <c r="A3" s="19" t="s">
        <v>251</v>
      </c>
    </row>
    <row r="5" spans="1:4" x14ac:dyDescent="0.35">
      <c r="A5" s="36" t="s">
        <v>252</v>
      </c>
    </row>
    <row r="7" spans="1:4" x14ac:dyDescent="0.35">
      <c r="A7" s="21" t="s">
        <v>52</v>
      </c>
      <c r="D7" s="22" t="s">
        <v>53</v>
      </c>
    </row>
    <row r="8" spans="1:4" x14ac:dyDescent="0.35">
      <c r="A8" s="15" t="s">
        <v>253</v>
      </c>
      <c r="B8" s="4">
        <v>5000</v>
      </c>
    </row>
    <row r="9" spans="1:4" x14ac:dyDescent="0.35">
      <c r="A9" s="15" t="s">
        <v>254</v>
      </c>
      <c r="B9" s="4">
        <v>2</v>
      </c>
    </row>
    <row r="10" spans="1:4" x14ac:dyDescent="0.35">
      <c r="A10" s="15" t="s">
        <v>255</v>
      </c>
      <c r="B10" s="4">
        <v>70</v>
      </c>
    </row>
    <row r="11" spans="1:4" x14ac:dyDescent="0.35">
      <c r="A11" s="15" t="s">
        <v>256</v>
      </c>
      <c r="B11" s="4">
        <v>30</v>
      </c>
    </row>
    <row r="12" spans="1:4" x14ac:dyDescent="0.35">
      <c r="A12" s="15" t="s">
        <v>59</v>
      </c>
      <c r="B12" s="23">
        <f>'Key Licensing Rules'!$D$5</f>
        <v>0.01</v>
      </c>
      <c r="C12" s="24" t="s">
        <v>77</v>
      </c>
    </row>
    <row r="13" spans="1:4" x14ac:dyDescent="0.35">
      <c r="A13" s="15" t="s">
        <v>61</v>
      </c>
      <c r="B13" s="25">
        <f>'Key Licensing Rules'!$D$6</f>
        <v>160</v>
      </c>
      <c r="C13" s="24" t="s">
        <v>77</v>
      </c>
    </row>
    <row r="14" spans="1:4" x14ac:dyDescent="0.35">
      <c r="A14" s="15" t="s">
        <v>62</v>
      </c>
      <c r="B14" s="26">
        <v>25000</v>
      </c>
    </row>
    <row r="15" spans="1:4" x14ac:dyDescent="0.35">
      <c r="B15" s="2"/>
    </row>
    <row r="16" spans="1:4" x14ac:dyDescent="0.35">
      <c r="A16" s="21" t="s">
        <v>63</v>
      </c>
      <c r="B16" s="2"/>
    </row>
    <row r="17" spans="1:7" x14ac:dyDescent="0.35">
      <c r="A17" s="15" t="s">
        <v>257</v>
      </c>
      <c r="B17" s="2">
        <f>B8*(B10/100)</f>
        <v>3500</v>
      </c>
    </row>
    <row r="18" spans="1:7" x14ac:dyDescent="0.35">
      <c r="A18" s="15" t="s">
        <v>258</v>
      </c>
      <c r="B18" s="2">
        <f>B8*(B11/100)</f>
        <v>1500</v>
      </c>
    </row>
    <row r="19" spans="1:7" x14ac:dyDescent="0.35">
      <c r="A19" s="15" t="s">
        <v>259</v>
      </c>
      <c r="B19" s="2">
        <f>B9*2</f>
        <v>4</v>
      </c>
      <c r="C19" t="s">
        <v>260</v>
      </c>
    </row>
    <row r="20" spans="1:7" x14ac:dyDescent="0.35">
      <c r="A20" s="15" t="s">
        <v>261</v>
      </c>
      <c r="B20" s="14">
        <f>(B9*2)+(1*5)</f>
        <v>9</v>
      </c>
      <c r="C20" s="1" t="s">
        <v>262</v>
      </c>
      <c r="D20" s="1"/>
    </row>
    <row r="21" spans="1:7" x14ac:dyDescent="0.35">
      <c r="A21" s="15" t="s">
        <v>263</v>
      </c>
      <c r="B21" s="14">
        <f>B17*B19</f>
        <v>14000</v>
      </c>
      <c r="C21" s="1"/>
      <c r="D21" s="1"/>
    </row>
    <row r="22" spans="1:7" x14ac:dyDescent="0.35">
      <c r="A22" s="15" t="s">
        <v>264</v>
      </c>
      <c r="B22" s="14">
        <f>B18*B20</f>
        <v>13500</v>
      </c>
      <c r="C22" s="1"/>
      <c r="D22" s="1"/>
    </row>
    <row r="23" spans="1:7" x14ac:dyDescent="0.35">
      <c r="A23" s="15" t="s">
        <v>114</v>
      </c>
      <c r="B23" s="38">
        <f>B21+B22</f>
        <v>27500</v>
      </c>
      <c r="C23" s="13"/>
      <c r="D23" s="13"/>
      <c r="E23" s="2"/>
      <c r="F23" s="2"/>
      <c r="G23" s="2"/>
    </row>
    <row r="24" spans="1:7" x14ac:dyDescent="0.35">
      <c r="B24" s="13"/>
      <c r="C24" s="13"/>
      <c r="D24" s="13"/>
      <c r="E24" s="2"/>
      <c r="F24" s="2"/>
      <c r="G24" s="2"/>
    </row>
    <row r="25" spans="1:7" x14ac:dyDescent="0.35">
      <c r="A25" s="15" t="s">
        <v>68</v>
      </c>
      <c r="B25" s="2"/>
      <c r="C25" s="2"/>
      <c r="D25" s="2"/>
      <c r="E25" s="2"/>
      <c r="F25" s="2"/>
      <c r="G25" s="2"/>
    </row>
    <row r="26" spans="1:7" x14ac:dyDescent="0.35">
      <c r="A26" s="11" t="s">
        <v>69</v>
      </c>
      <c r="B26" s="27" t="s">
        <v>34</v>
      </c>
      <c r="C26" s="27" t="s">
        <v>35</v>
      </c>
      <c r="D26" s="2"/>
      <c r="E26" s="28" t="s">
        <v>32</v>
      </c>
      <c r="F26" s="28" t="s">
        <v>34</v>
      </c>
      <c r="G26" s="2"/>
    </row>
    <row r="27" spans="1:7" x14ac:dyDescent="0.35">
      <c r="A27" s="15" t="s">
        <v>7</v>
      </c>
      <c r="B27" s="13">
        <f>B23*'Key Licensing Rules'!$D$5</f>
        <v>275</v>
      </c>
      <c r="C27" s="13">
        <f>B27*12</f>
        <v>3300</v>
      </c>
      <c r="D27" s="2"/>
      <c r="E27" s="2" t="s">
        <v>39</v>
      </c>
      <c r="F27" s="13">
        <f>B27</f>
        <v>275</v>
      </c>
      <c r="G27" s="2"/>
    </row>
    <row r="28" spans="1:7" x14ac:dyDescent="0.35">
      <c r="A28" s="15" t="s">
        <v>40</v>
      </c>
      <c r="B28" s="13">
        <f>IF(B23&lt;25000, B23*('Key Licensing Rules'!$D$6/25000), CEILING(B23/25000,1)*'Key Licensing Rules'!$D$6)</f>
        <v>320</v>
      </c>
      <c r="C28" s="13">
        <f>B28*12</f>
        <v>3840</v>
      </c>
      <c r="D28" s="2"/>
      <c r="E28" s="2" t="s">
        <v>40</v>
      </c>
      <c r="F28" s="13">
        <f>B28</f>
        <v>320</v>
      </c>
      <c r="G28" s="2"/>
    </row>
    <row r="29" spans="1:7" x14ac:dyDescent="0.35">
      <c r="A29" s="15" t="s">
        <v>41</v>
      </c>
      <c r="B29" s="13">
        <f>B23*'Key Licensing Rules'!$D$7</f>
        <v>261.25</v>
      </c>
      <c r="C29" s="13">
        <f>B29*12</f>
        <v>3135</v>
      </c>
      <c r="D29" s="2"/>
      <c r="E29" s="2" t="s">
        <v>41</v>
      </c>
      <c r="F29" s="13">
        <f>B29</f>
        <v>261.25</v>
      </c>
      <c r="G29" s="2"/>
    </row>
    <row r="30" spans="1:7" x14ac:dyDescent="0.35">
      <c r="A30" s="15" t="s">
        <v>43</v>
      </c>
      <c r="B30" s="13">
        <f>IF(B23&lt;25000, MIN(B23*'Key Licensing Rules'!$D$5, B23*('Key Licensing Rules'!$D$6/25000)), QUOTIENT(B23,25000)*'Key Licensing Rules'!$D$6 + MOD(B23,25000)*'Key Licensing Rules'!$D$5)</f>
        <v>185</v>
      </c>
      <c r="C30" s="13">
        <f>B30*12</f>
        <v>2220</v>
      </c>
      <c r="D30" s="2"/>
      <c r="E30" s="2" t="s">
        <v>45</v>
      </c>
      <c r="F30" s="13">
        <f>B30</f>
        <v>185</v>
      </c>
      <c r="G30" s="2"/>
    </row>
    <row r="31" spans="1:7" x14ac:dyDescent="0.35">
      <c r="A31" s="15" t="s">
        <v>13</v>
      </c>
      <c r="B31" s="13">
        <f>IF(B23&lt;25000, MIN(B23*'Key Licensing Rules'!$D$7, B23*('Key Licensing Rules'!$D$6/25000)), QUOTIENT(B23,25000)*'Key Licensing Rules'!$D$6 + MOD(B23,25000)*'Key Licensing Rules'!$D$7)</f>
        <v>183.75</v>
      </c>
      <c r="C31" s="13">
        <f>B31*12</f>
        <v>2205</v>
      </c>
      <c r="D31" s="2"/>
      <c r="E31" s="2" t="s">
        <v>47</v>
      </c>
      <c r="F31" s="13">
        <f>B31</f>
        <v>183.75</v>
      </c>
      <c r="G31" s="2"/>
    </row>
    <row r="32" spans="1:7" x14ac:dyDescent="0.35">
      <c r="B32" s="2"/>
      <c r="C32" s="2"/>
      <c r="D32" s="2"/>
      <c r="E32" s="2"/>
      <c r="F32" s="2"/>
      <c r="G32" s="2"/>
    </row>
    <row r="33" spans="1:7" x14ac:dyDescent="0.35">
      <c r="A33" s="15" t="s">
        <v>71</v>
      </c>
      <c r="B33" s="2"/>
      <c r="C33" s="2"/>
      <c r="D33" s="2"/>
      <c r="E33" s="2"/>
      <c r="F33" s="2"/>
      <c r="G33" s="2"/>
    </row>
    <row r="34" spans="1:7" x14ac:dyDescent="0.35">
      <c r="A34" s="17" t="s">
        <v>71</v>
      </c>
      <c r="B34" s="2" t="str">
        <f>"Monthly: "&amp;TEXT(MIN(B27:B31),"[$$-en-US]#,##0.00")&amp;" | Annual: "&amp;TEXT(MIN(B27:B31)*12,"[$$-en-US]#,##0.00")</f>
        <v>Monthly: $183.75 | Annual: $2,205.00</v>
      </c>
      <c r="C34" s="2"/>
      <c r="D34" s="2"/>
      <c r="E34" s="2"/>
      <c r="F34" s="2"/>
      <c r="G34" s="2"/>
    </row>
    <row r="35" spans="1:7" x14ac:dyDescent="0.35">
      <c r="A35" t="str">
        <f>INDEX(A27:A31,MATCH(MIN(B27:B31),B27:B31,0))&amp;" is cheapest"</f>
        <v>Hybrid (CP + P3) is cheapest</v>
      </c>
      <c r="B35" s="2" t="str">
        <f>"Monthly: "&amp;TEXT(MIN(B27:B31),"[$$-en-US]#,##0.00")&amp;" | Annual: "&amp;TEXT(MIN(B27:B31)*12,"[$$-en-US]#,##0.00")</f>
        <v>Monthly: $183.75 | Annual: $2,205.00</v>
      </c>
      <c r="C35" s="2"/>
      <c r="D35" s="2"/>
      <c r="E35" s="2"/>
      <c r="F35" s="2"/>
      <c r="G35" s="2"/>
    </row>
    <row r="36" spans="1:7" x14ac:dyDescent="0.35">
      <c r="B36" s="2"/>
      <c r="C36" s="2"/>
      <c r="D36" s="2"/>
      <c r="E36" s="2"/>
      <c r="F36" s="2"/>
    </row>
  </sheetData>
  <sheetProtection algorithmName="SHA-512" hashValue="reBIRgd1zJ7cODkej2OPO/Dq3dH1/mXpYJZWLEAicEDda8JqXfFQ39W5Z1aC5aVd0SPlVi6WgP/NXI03ysS4eg==" saltValue="jahAzJpMIzwBQI39Su0inQ==" spinCount="100000" sheet="1" objects="1" scenarios="1"/>
  <dataValidations count="2">
    <dataValidation type="decimal" allowBlank="1" showInputMessage="1" showErrorMessage="1" errorTitle="Invalid Entry" error="Please enter a positive number only." sqref="B8:B9" xr:uid="{C643DD34-9E65-4A6B-B14E-5336DD205E83}">
      <formula1>0</formula1>
      <formula2>999999999</formula2>
    </dataValidation>
    <dataValidation type="decimal" allowBlank="1" showInputMessage="1" showErrorMessage="1" errorTitle="Invalid Entry" error="Please enter a percentage between 0 and 100." sqref="B10:B11" xr:uid="{F43A897A-D656-4611-8166-A4B6EC8D2892}">
      <formula1>0</formula1>
      <formula2>100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7BBA-54EB-4B78-8600-A19D8610364B}">
  <sheetPr codeName="Sheet14"/>
  <dimension ref="A1:G42"/>
  <sheetViews>
    <sheetView topLeftCell="A44" workbookViewId="0">
      <selection activeCell="A65" sqref="A65"/>
    </sheetView>
  </sheetViews>
  <sheetFormatPr defaultRowHeight="14.5" x14ac:dyDescent="0.35"/>
  <cols>
    <col min="1" max="1" width="93.453125" bestFit="1" customWidth="1"/>
    <col min="2" max="2" width="12.7265625" bestFit="1" customWidth="1"/>
    <col min="3" max="3" width="11.54296875" bestFit="1" customWidth="1"/>
  </cols>
  <sheetData>
    <row r="1" spans="1:4" ht="18.5" x14ac:dyDescent="0.45">
      <c r="A1" s="18" t="s">
        <v>265</v>
      </c>
    </row>
    <row r="3" spans="1:4" x14ac:dyDescent="0.35">
      <c r="A3" s="19" t="s">
        <v>266</v>
      </c>
    </row>
    <row r="5" spans="1:4" x14ac:dyDescent="0.35">
      <c r="A5" s="36" t="s">
        <v>267</v>
      </c>
    </row>
    <row r="7" spans="1:4" x14ac:dyDescent="0.35">
      <c r="A7" s="20" t="s">
        <v>268</v>
      </c>
    </row>
    <row r="8" spans="1:4" x14ac:dyDescent="0.35">
      <c r="B8" s="2"/>
    </row>
    <row r="9" spans="1:4" x14ac:dyDescent="0.35">
      <c r="A9" s="21" t="s">
        <v>52</v>
      </c>
      <c r="B9" s="2"/>
      <c r="D9" s="22" t="s">
        <v>53</v>
      </c>
    </row>
    <row r="10" spans="1:4" x14ac:dyDescent="0.35">
      <c r="A10" s="15" t="s">
        <v>269</v>
      </c>
      <c r="B10" s="4">
        <v>5000</v>
      </c>
    </row>
    <row r="11" spans="1:4" x14ac:dyDescent="0.35">
      <c r="A11" s="15" t="s">
        <v>56</v>
      </c>
      <c r="B11" s="4">
        <v>30</v>
      </c>
    </row>
    <row r="12" spans="1:4" x14ac:dyDescent="0.35">
      <c r="A12" s="15" t="s">
        <v>270</v>
      </c>
      <c r="B12" s="4">
        <v>30</v>
      </c>
    </row>
    <row r="13" spans="1:4" x14ac:dyDescent="0.35">
      <c r="A13" s="15" t="s">
        <v>57</v>
      </c>
      <c r="B13" s="4" t="s">
        <v>58</v>
      </c>
    </row>
    <row r="14" spans="1:4" x14ac:dyDescent="0.35">
      <c r="A14" s="15" t="s">
        <v>59</v>
      </c>
      <c r="B14" s="23">
        <f>'Key Licensing Rules'!$D$5</f>
        <v>0.01</v>
      </c>
      <c r="C14" s="24" t="s">
        <v>77</v>
      </c>
    </row>
    <row r="15" spans="1:4" x14ac:dyDescent="0.35">
      <c r="A15" s="15" t="s">
        <v>61</v>
      </c>
      <c r="B15" s="25">
        <f>'Key Licensing Rules'!$D$6</f>
        <v>160</v>
      </c>
      <c r="C15" s="24" t="s">
        <v>77</v>
      </c>
    </row>
    <row r="16" spans="1:4" x14ac:dyDescent="0.35">
      <c r="A16" s="15" t="s">
        <v>62</v>
      </c>
      <c r="B16" s="26">
        <v>25000</v>
      </c>
    </row>
    <row r="17" spans="1:7" x14ac:dyDescent="0.35">
      <c r="B17" s="2"/>
    </row>
    <row r="18" spans="1:7" x14ac:dyDescent="0.35">
      <c r="A18" s="21" t="s">
        <v>63</v>
      </c>
      <c r="B18" s="2"/>
    </row>
    <row r="19" spans="1:7" x14ac:dyDescent="0.35">
      <c r="A19" s="15" t="s">
        <v>271</v>
      </c>
      <c r="B19" s="2">
        <f>B10*B11</f>
        <v>150000</v>
      </c>
    </row>
    <row r="20" spans="1:7" x14ac:dyDescent="0.35">
      <c r="A20" s="15" t="s">
        <v>272</v>
      </c>
      <c r="B20" s="14">
        <f>B19*(B12/100)</f>
        <v>45000</v>
      </c>
      <c r="C20" s="1"/>
      <c r="D20" s="1"/>
    </row>
    <row r="21" spans="1:7" x14ac:dyDescent="0.35">
      <c r="A21" s="15" t="s">
        <v>273</v>
      </c>
      <c r="B21" s="62">
        <f>B19-B20</f>
        <v>105000</v>
      </c>
      <c r="C21" s="1"/>
      <c r="D21" s="1"/>
    </row>
    <row r="22" spans="1:7" x14ac:dyDescent="0.35">
      <c r="A22" s="15" t="s">
        <v>274</v>
      </c>
      <c r="B22" s="14">
        <f>B19*1</f>
        <v>150000</v>
      </c>
      <c r="C22" s="1"/>
      <c r="D22" s="1"/>
    </row>
    <row r="23" spans="1:7" x14ac:dyDescent="0.35">
      <c r="A23" s="15" t="s">
        <v>66</v>
      </c>
      <c r="B23" s="13" t="str">
        <f>IF(UPPER(B13)="LICENSED","Yes","No")</f>
        <v>No</v>
      </c>
      <c r="C23" s="13"/>
      <c r="D23" s="13"/>
      <c r="E23" s="2"/>
      <c r="F23" s="2"/>
      <c r="G23" s="2"/>
    </row>
    <row r="24" spans="1:7" x14ac:dyDescent="0.35">
      <c r="A24" s="15" t="s">
        <v>67</v>
      </c>
      <c r="B24" s="38">
        <f>IF(B23="Yes",0,B22)</f>
        <v>150000</v>
      </c>
      <c r="C24" s="13"/>
      <c r="D24" s="13"/>
      <c r="E24" s="2"/>
      <c r="F24" s="2"/>
      <c r="G24" s="2"/>
    </row>
    <row r="25" spans="1:7" x14ac:dyDescent="0.35">
      <c r="B25" s="13"/>
      <c r="C25" s="13"/>
      <c r="D25" s="13"/>
      <c r="E25" s="2"/>
      <c r="F25" s="2"/>
      <c r="G25" s="2"/>
    </row>
    <row r="26" spans="1:7" x14ac:dyDescent="0.35">
      <c r="A26" s="21" t="s">
        <v>275</v>
      </c>
      <c r="B26" s="13"/>
      <c r="C26" s="13"/>
      <c r="D26" s="13"/>
      <c r="E26" s="2"/>
      <c r="F26" s="2"/>
      <c r="G26" s="2"/>
    </row>
    <row r="27" spans="1:7" x14ac:dyDescent="0.35">
      <c r="A27" s="15" t="s">
        <v>276</v>
      </c>
      <c r="B27" s="14">
        <f>IF(B23="Yes",0,B21)</f>
        <v>105000</v>
      </c>
      <c r="C27" s="13"/>
      <c r="D27" s="13"/>
      <c r="E27" s="2"/>
      <c r="F27" s="2"/>
      <c r="G27" s="2"/>
    </row>
    <row r="28" spans="1:7" x14ac:dyDescent="0.35">
      <c r="A28" s="15" t="s">
        <v>277</v>
      </c>
      <c r="B28" s="63">
        <f>B27*B14</f>
        <v>1050</v>
      </c>
      <c r="C28" s="13"/>
      <c r="D28" s="13"/>
      <c r="E28" s="2"/>
      <c r="F28" s="2"/>
      <c r="G28" s="2"/>
    </row>
    <row r="29" spans="1:7" x14ac:dyDescent="0.35">
      <c r="B29" s="13"/>
      <c r="C29" s="13"/>
      <c r="D29" s="13"/>
      <c r="E29" s="2"/>
      <c r="F29" s="2"/>
      <c r="G29" s="2"/>
    </row>
    <row r="30" spans="1:7" x14ac:dyDescent="0.35">
      <c r="A30" s="15" t="s">
        <v>68</v>
      </c>
      <c r="B30" s="2"/>
      <c r="C30" s="2"/>
      <c r="D30" s="2"/>
      <c r="E30" s="2"/>
      <c r="F30" s="2"/>
      <c r="G30" s="2"/>
    </row>
    <row r="31" spans="1:7" x14ac:dyDescent="0.35">
      <c r="A31" s="11" t="s">
        <v>69</v>
      </c>
      <c r="B31" s="27" t="s">
        <v>34</v>
      </c>
      <c r="C31" s="27" t="s">
        <v>35</v>
      </c>
      <c r="D31" s="2"/>
      <c r="E31" s="28" t="s">
        <v>32</v>
      </c>
      <c r="F31" s="28" t="s">
        <v>34</v>
      </c>
      <c r="G31" s="2"/>
    </row>
    <row r="32" spans="1:7" x14ac:dyDescent="0.35">
      <c r="A32" s="15" t="s">
        <v>7</v>
      </c>
      <c r="B32" s="13">
        <f>B24*'Key Licensing Rules'!$D$5</f>
        <v>1500</v>
      </c>
      <c r="C32" s="13">
        <f>B32*12</f>
        <v>18000</v>
      </c>
      <c r="D32" s="2"/>
      <c r="E32" s="2" t="s">
        <v>39</v>
      </c>
      <c r="F32" s="13">
        <f>B32</f>
        <v>1500</v>
      </c>
      <c r="G32" s="2"/>
    </row>
    <row r="33" spans="1:7" x14ac:dyDescent="0.35">
      <c r="A33" s="15" t="s">
        <v>40</v>
      </c>
      <c r="B33" s="13">
        <f>IF(B24&lt;25000, B24*('Key Licensing Rules'!$D$6/25000), CEILING(B24/25000,1)*'Key Licensing Rules'!$D$6)</f>
        <v>960</v>
      </c>
      <c r="C33" s="13">
        <f>B33*12</f>
        <v>11520</v>
      </c>
      <c r="D33" s="2"/>
      <c r="E33" s="2" t="s">
        <v>40</v>
      </c>
      <c r="F33" s="13">
        <f>B33</f>
        <v>960</v>
      </c>
      <c r="G33" s="2"/>
    </row>
    <row r="34" spans="1:7" x14ac:dyDescent="0.35">
      <c r="A34" s="15" t="s">
        <v>41</v>
      </c>
      <c r="B34" s="13">
        <f>B24*'Key Licensing Rules'!$D$7</f>
        <v>1425</v>
      </c>
      <c r="C34" s="13">
        <f>B34*12</f>
        <v>17100</v>
      </c>
      <c r="D34" s="2"/>
      <c r="E34" s="2" t="s">
        <v>41</v>
      </c>
      <c r="F34" s="13">
        <f>B34</f>
        <v>1425</v>
      </c>
      <c r="G34" s="2"/>
    </row>
    <row r="35" spans="1:7" x14ac:dyDescent="0.35">
      <c r="A35" s="15" t="s">
        <v>43</v>
      </c>
      <c r="B35" s="13">
        <f>IF(B24&lt;25000, MIN(B24*'Key Licensing Rules'!$D$5, B24*('Key Licensing Rules'!$D$6/25000)), QUOTIENT(B24,25000)*'Key Licensing Rules'!$D$6 + MOD(B24,25000)*'Key Licensing Rules'!$D$5)</f>
        <v>960</v>
      </c>
      <c r="C35" s="13">
        <f>B35*12</f>
        <v>11520</v>
      </c>
      <c r="D35" s="2"/>
      <c r="E35" s="2" t="s">
        <v>45</v>
      </c>
      <c r="F35" s="13">
        <f>B35</f>
        <v>960</v>
      </c>
      <c r="G35" s="2"/>
    </row>
    <row r="36" spans="1:7" x14ac:dyDescent="0.35">
      <c r="A36" s="15" t="s">
        <v>13</v>
      </c>
      <c r="B36" s="13">
        <f>IF(B24&lt;25000, MIN(B24*'Key Licensing Rules'!$D$7, B24*('Key Licensing Rules'!$D$6/25000)), QUOTIENT(B24,25000)*'Key Licensing Rules'!$D$6 + MOD(B24,25000)*'Key Licensing Rules'!$D$7)</f>
        <v>960</v>
      </c>
      <c r="C36" s="13">
        <f>B36*12</f>
        <v>11520</v>
      </c>
      <c r="D36" s="2"/>
      <c r="E36" s="2" t="s">
        <v>47</v>
      </c>
      <c r="F36" s="13">
        <f>B36</f>
        <v>960</v>
      </c>
    </row>
    <row r="38" spans="1:7" x14ac:dyDescent="0.35">
      <c r="A38" s="15" t="s">
        <v>278</v>
      </c>
    </row>
    <row r="40" spans="1:7" x14ac:dyDescent="0.35">
      <c r="A40" s="15" t="s">
        <v>71</v>
      </c>
    </row>
    <row r="41" spans="1:7" x14ac:dyDescent="0.35">
      <c r="A41" s="17" t="s">
        <v>71</v>
      </c>
      <c r="B41" t="str">
        <f>"Monthly: "&amp;TEXT(MIN(B32:B36),"[$$-en-US]#,##0.00")&amp;" | Annual: "&amp;TEXT(MIN(B32:B36)*12,"[$$-en-US]#,##0.00")</f>
        <v>Monthly: $960.00 | Annual: $11,520.00</v>
      </c>
    </row>
    <row r="42" spans="1:7" x14ac:dyDescent="0.35">
      <c r="A42" t="str">
        <f>INDEX(A32:A36,MATCH(MIN(B32:B36),B32:B36,0))&amp;" is cheapest"</f>
        <v>Capacity Packs is cheapest</v>
      </c>
      <c r="B42" t="str">
        <f>"Monthly: "&amp;TEXT(MIN(B32:B36),"[$$-en-US]#,##0.00")&amp;" | Annual: "&amp;TEXT(MIN(B32:B36)*12,"[$$-en-US]#,##0.00")</f>
        <v>Monthly: $960.00 | Annual: $11,520.00</v>
      </c>
    </row>
  </sheetData>
  <sheetProtection algorithmName="SHA-512" hashValue="o/ztnzrML2DDiTuNJOoRagJBkWElC+mOHPRrjcVabAYwywuLtXIzN3ROARYGfzREZhW7RZvtMvT/Eq45QL5Izw==" saltValue="7Tv7pltf+0x0OtxzXKlx6A==" spinCount="100000" sheet="1" objects="1" scenarios="1"/>
  <dataValidations count="2">
    <dataValidation type="decimal" allowBlank="1" showInputMessage="1" showErrorMessage="1" errorTitle="Invalid Entry" error="Please enter a positive number only." sqref="B10:B11" xr:uid="{7D53C5A8-3EB2-42C8-BF80-A3A999732BBF}">
      <formula1>0</formula1>
      <formula2>999999999</formula2>
    </dataValidation>
    <dataValidation type="decimal" allowBlank="1" showInputMessage="1" showErrorMessage="1" errorTitle="Invalid Entry" error="Please enter a percentage between 0 and 100." sqref="B12" xr:uid="{9E33CEFE-3DFD-41E6-814C-F391164DCAD0}">
      <formula1>0</formula1>
      <formula2>100</formula2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0C7D-C2B2-4222-BE01-9D36A30D1F33}">
  <sheetPr codeName="Sheet15"/>
  <dimension ref="A1:G45"/>
  <sheetViews>
    <sheetView workbookViewId="0"/>
  </sheetViews>
  <sheetFormatPr defaultRowHeight="14.5" x14ac:dyDescent="0.35"/>
  <cols>
    <col min="1" max="1" width="70.54296875" bestFit="1" customWidth="1"/>
    <col min="2" max="2" width="15.7265625" bestFit="1" customWidth="1"/>
    <col min="3" max="3" width="22.26953125" bestFit="1" customWidth="1"/>
  </cols>
  <sheetData>
    <row r="1" spans="1:4" ht="18.5" x14ac:dyDescent="0.45">
      <c r="A1" s="18" t="s">
        <v>279</v>
      </c>
    </row>
    <row r="3" spans="1:4" x14ac:dyDescent="0.35">
      <c r="A3" s="19" t="s">
        <v>280</v>
      </c>
    </row>
    <row r="5" spans="1:4" x14ac:dyDescent="0.35">
      <c r="A5" s="21" t="s">
        <v>281</v>
      </c>
    </row>
    <row r="6" spans="1:4" x14ac:dyDescent="0.35">
      <c r="A6" s="11" t="s">
        <v>282</v>
      </c>
      <c r="B6" s="11" t="s">
        <v>283</v>
      </c>
      <c r="C6" s="11" t="s">
        <v>284</v>
      </c>
    </row>
    <row r="7" spans="1:4" x14ac:dyDescent="0.35">
      <c r="A7" t="s">
        <v>165</v>
      </c>
      <c r="B7" s="64" t="s">
        <v>285</v>
      </c>
      <c r="C7" t="s">
        <v>286</v>
      </c>
    </row>
    <row r="8" spans="1:4" x14ac:dyDescent="0.35">
      <c r="A8" t="s">
        <v>166</v>
      </c>
      <c r="B8" s="60" t="s">
        <v>285</v>
      </c>
      <c r="C8" t="s">
        <v>287</v>
      </c>
    </row>
    <row r="9" spans="1:4" x14ac:dyDescent="0.35">
      <c r="A9" t="s">
        <v>288</v>
      </c>
      <c r="B9" s="60" t="s">
        <v>285</v>
      </c>
      <c r="C9" t="s">
        <v>289</v>
      </c>
    </row>
    <row r="10" spans="1:4" x14ac:dyDescent="0.35">
      <c r="A10" t="s">
        <v>168</v>
      </c>
      <c r="B10" s="60" t="s">
        <v>285</v>
      </c>
      <c r="C10" t="s">
        <v>290</v>
      </c>
    </row>
    <row r="11" spans="1:4" x14ac:dyDescent="0.35">
      <c r="A11" t="s">
        <v>291</v>
      </c>
      <c r="B11" s="61" t="s">
        <v>292</v>
      </c>
      <c r="C11" t="s">
        <v>293</v>
      </c>
    </row>
    <row r="12" spans="1:4" x14ac:dyDescent="0.35">
      <c r="A12" t="s">
        <v>294</v>
      </c>
      <c r="B12" s="61" t="s">
        <v>292</v>
      </c>
      <c r="C12" t="s">
        <v>295</v>
      </c>
    </row>
    <row r="13" spans="1:4" x14ac:dyDescent="0.35">
      <c r="A13" t="s">
        <v>296</v>
      </c>
      <c r="B13" s="61" t="s">
        <v>292</v>
      </c>
      <c r="C13" t="s">
        <v>297</v>
      </c>
    </row>
    <row r="14" spans="1:4" x14ac:dyDescent="0.35">
      <c r="A14" t="s">
        <v>298</v>
      </c>
      <c r="B14" s="61" t="s">
        <v>292</v>
      </c>
      <c r="C14" t="s">
        <v>295</v>
      </c>
    </row>
    <row r="15" spans="1:4" x14ac:dyDescent="0.35">
      <c r="B15" s="2"/>
    </row>
    <row r="16" spans="1:4" x14ac:dyDescent="0.35">
      <c r="A16" s="21" t="s">
        <v>299</v>
      </c>
      <c r="B16" s="2"/>
      <c r="D16" s="22" t="s">
        <v>53</v>
      </c>
    </row>
    <row r="17" spans="1:7" x14ac:dyDescent="0.35">
      <c r="A17" s="15" t="s">
        <v>300</v>
      </c>
      <c r="B17" s="4">
        <v>200</v>
      </c>
    </row>
    <row r="18" spans="1:7" x14ac:dyDescent="0.35">
      <c r="A18" s="15" t="s">
        <v>301</v>
      </c>
      <c r="B18" s="4">
        <v>100</v>
      </c>
    </row>
    <row r="19" spans="1:7" x14ac:dyDescent="0.35">
      <c r="A19" s="15" t="s">
        <v>302</v>
      </c>
      <c r="B19" s="4">
        <v>50</v>
      </c>
    </row>
    <row r="20" spans="1:7" x14ac:dyDescent="0.35">
      <c r="A20" s="15" t="s">
        <v>303</v>
      </c>
      <c r="B20" s="7">
        <v>50</v>
      </c>
      <c r="C20" s="1"/>
      <c r="D20" s="1"/>
    </row>
    <row r="21" spans="1:7" x14ac:dyDescent="0.35">
      <c r="A21" s="15" t="s">
        <v>304</v>
      </c>
      <c r="B21" s="5">
        <v>3</v>
      </c>
      <c r="C21" s="1"/>
      <c r="D21" s="1"/>
    </row>
    <row r="22" spans="1:7" x14ac:dyDescent="0.35">
      <c r="A22" s="15" t="s">
        <v>198</v>
      </c>
      <c r="B22" s="2"/>
    </row>
    <row r="23" spans="1:7" x14ac:dyDescent="0.35">
      <c r="A23" t="s">
        <v>59</v>
      </c>
      <c r="B23" s="12">
        <f>'Key Licensing Rules'!$D$5</f>
        <v>0.01</v>
      </c>
      <c r="C23" s="2" t="s">
        <v>77</v>
      </c>
      <c r="D23" s="2"/>
      <c r="E23" s="2"/>
      <c r="F23" s="2"/>
      <c r="G23" s="2"/>
    </row>
    <row r="24" spans="1:7" x14ac:dyDescent="0.35">
      <c r="B24" s="2"/>
      <c r="C24" s="2"/>
      <c r="D24" s="2"/>
      <c r="E24" s="2"/>
      <c r="F24" s="2"/>
      <c r="G24" s="2"/>
    </row>
    <row r="25" spans="1:7" x14ac:dyDescent="0.35">
      <c r="A25" s="15" t="s">
        <v>305</v>
      </c>
      <c r="B25" s="2"/>
      <c r="C25" s="2"/>
      <c r="D25" s="2"/>
      <c r="E25" s="2"/>
      <c r="F25" s="2"/>
      <c r="G25" s="2"/>
    </row>
    <row r="26" spans="1:7" x14ac:dyDescent="0.35">
      <c r="A26" t="s">
        <v>306</v>
      </c>
      <c r="B26" s="13">
        <v>0</v>
      </c>
      <c r="C26" s="2" t="s">
        <v>307</v>
      </c>
      <c r="D26" s="2"/>
      <c r="E26" s="2"/>
      <c r="F26" s="2"/>
      <c r="G26" s="2"/>
    </row>
    <row r="27" spans="1:7" x14ac:dyDescent="0.35">
      <c r="A27" t="s">
        <v>308</v>
      </c>
      <c r="B27" s="14">
        <f>B18*B19/100*13</f>
        <v>650</v>
      </c>
      <c r="C27" s="2"/>
      <c r="D27" s="2"/>
      <c r="E27" s="2"/>
      <c r="F27" s="2"/>
      <c r="G27" s="2"/>
    </row>
    <row r="28" spans="1:7" x14ac:dyDescent="0.35">
      <c r="A28" t="s">
        <v>309</v>
      </c>
      <c r="B28" s="14">
        <f>B20*B21*8</f>
        <v>1200</v>
      </c>
      <c r="C28" s="2"/>
      <c r="D28" s="2"/>
      <c r="E28" s="2"/>
      <c r="F28" s="2"/>
      <c r="G28" s="2"/>
    </row>
    <row r="29" spans="1:7" x14ac:dyDescent="0.35">
      <c r="A29" t="s">
        <v>310</v>
      </c>
      <c r="B29" s="38">
        <f>B27+B28</f>
        <v>1850</v>
      </c>
      <c r="C29" s="2"/>
      <c r="D29" s="2"/>
      <c r="E29" s="2"/>
      <c r="F29" s="2"/>
      <c r="G29" s="2"/>
    </row>
    <row r="30" spans="1:7" x14ac:dyDescent="0.35">
      <c r="B30" s="2"/>
      <c r="C30" s="2"/>
      <c r="D30" s="2"/>
      <c r="E30" s="2"/>
      <c r="F30" s="2"/>
      <c r="G30" s="2"/>
    </row>
    <row r="31" spans="1:7" x14ac:dyDescent="0.35">
      <c r="A31" s="15" t="s">
        <v>68</v>
      </c>
      <c r="B31" s="2"/>
      <c r="C31" s="2"/>
      <c r="D31" s="2"/>
      <c r="E31" s="2"/>
      <c r="F31" s="2"/>
      <c r="G31" s="2"/>
    </row>
    <row r="32" spans="1:7" x14ac:dyDescent="0.35">
      <c r="A32" s="11" t="s">
        <v>69</v>
      </c>
      <c r="B32" s="27" t="s">
        <v>311</v>
      </c>
      <c r="C32" s="27" t="s">
        <v>312</v>
      </c>
      <c r="D32" s="2"/>
      <c r="E32" s="28" t="s">
        <v>313</v>
      </c>
      <c r="F32" s="28" t="s">
        <v>164</v>
      </c>
      <c r="G32" s="2"/>
    </row>
    <row r="33" spans="1:7" x14ac:dyDescent="0.35">
      <c r="A33" t="s">
        <v>7</v>
      </c>
      <c r="B33" s="13">
        <f>B29*'Key Licensing Rules'!$D$5</f>
        <v>18.5</v>
      </c>
      <c r="C33" s="2" t="s">
        <v>314</v>
      </c>
      <c r="D33" s="2"/>
      <c r="E33" s="2" t="s">
        <v>45</v>
      </c>
      <c r="F33" s="13">
        <f>B35</f>
        <v>11.84</v>
      </c>
      <c r="G33" s="2"/>
    </row>
    <row r="34" spans="1:7" x14ac:dyDescent="0.35">
      <c r="A34" t="s">
        <v>41</v>
      </c>
      <c r="B34" s="13">
        <f>B29*'Key Licensing Rules'!$D$7</f>
        <v>17.574999999999999</v>
      </c>
      <c r="C34" s="2" t="s">
        <v>315</v>
      </c>
      <c r="D34" s="2"/>
      <c r="E34" s="2" t="s">
        <v>47</v>
      </c>
      <c r="F34" s="13">
        <f>B36</f>
        <v>11.84</v>
      </c>
      <c r="G34" s="2"/>
    </row>
    <row r="35" spans="1:7" x14ac:dyDescent="0.35">
      <c r="A35" t="s">
        <v>43</v>
      </c>
      <c r="B35" s="13">
        <f>IF(B29&lt;25000, MIN(B29*'Key Licensing Rules'!$D$5, B29*('Key Licensing Rules'!$D$6/25000)), QUOTIENT(B29,25000)*'Key Licensing Rules'!$D$6 + MOD(B29,25000)*'Key Licensing Rules'!$D$5)</f>
        <v>11.84</v>
      </c>
      <c r="C35" s="13">
        <f>B35*12</f>
        <v>142.07999999999998</v>
      </c>
      <c r="D35" s="2"/>
      <c r="E35" s="2" t="s">
        <v>316</v>
      </c>
      <c r="F35" s="14">
        <f>B28</f>
        <v>1200</v>
      </c>
      <c r="G35" s="2"/>
    </row>
    <row r="36" spans="1:7" x14ac:dyDescent="0.35">
      <c r="A36" s="15" t="s">
        <v>13</v>
      </c>
      <c r="B36" s="13">
        <f>IF(B29&lt;25000, MIN(B29*'Key Licensing Rules'!$D$7, B29*('Key Licensing Rules'!$D$6/25000)), QUOTIENT(B29,25000)*'Key Licensing Rules'!$D$6 + MOD(B29,25000)*'Key Licensing Rules'!$D$7)</f>
        <v>11.84</v>
      </c>
      <c r="C36" s="13">
        <f>B36*12</f>
        <v>142.07999999999998</v>
      </c>
    </row>
    <row r="37" spans="1:7" x14ac:dyDescent="0.35">
      <c r="A37" t="s">
        <v>317</v>
      </c>
    </row>
    <row r="38" spans="1:7" x14ac:dyDescent="0.35">
      <c r="A38" t="s">
        <v>318</v>
      </c>
    </row>
    <row r="39" spans="1:7" x14ac:dyDescent="0.35">
      <c r="A39" t="s">
        <v>319</v>
      </c>
    </row>
    <row r="40" spans="1:7" x14ac:dyDescent="0.35">
      <c r="A40" t="s">
        <v>320</v>
      </c>
    </row>
    <row r="42" spans="1:7" x14ac:dyDescent="0.35">
      <c r="A42" s="15" t="s">
        <v>71</v>
      </c>
    </row>
    <row r="43" spans="1:7" x14ac:dyDescent="0.35">
      <c r="A43" s="17" t="str">
        <f>INDEX(A33:A36,MATCH(MIN(B33:B36),B33:B36,0))&amp;" is cheapest for testing"</f>
        <v>Hybrid (CP + PAYG) is cheapest for testing</v>
      </c>
      <c r="B43" t="str">
        <f>"Testing Cost: "&amp;TEXT(MIN(B33:B36),"[$$-en-US]#,##0.00")</f>
        <v>Testing Cost: $11.84</v>
      </c>
    </row>
    <row r="44" spans="1:7" x14ac:dyDescent="0.35">
      <c r="A44" t="s">
        <v>71</v>
      </c>
    </row>
    <row r="45" spans="1:7" x14ac:dyDescent="0.35">
      <c r="A45" t="str">
        <f>INDEX(A33:A36,MATCH(MIN(B33:B36),B33:B36,0))&amp;" is cheapest for testing"</f>
        <v>Hybrid (CP + PAYG) is cheapest for testing</v>
      </c>
      <c r="B45" t="str">
        <f>"Testing Cost: "&amp;TEXT(MIN(B33:B36),"[$$-en-US]#,##0.00")</f>
        <v>Testing Cost: $11.84</v>
      </c>
    </row>
  </sheetData>
  <sheetProtection algorithmName="SHA-512" hashValue="r61OoE8s7axX3hy/mfNbQjNFh3Iudt9tY/lljgBfH45v+ATEb+Sz98BknGu4O1GRqUF7acRbu3rq1nFhQALBEQ==" saltValue="GvB+VHbit2sQ27khhyo6mQ==" spinCount="100000" sheet="1" objects="1" scenarios="1"/>
  <dataValidations count="1">
    <dataValidation type="decimal" allowBlank="1" showInputMessage="1" showErrorMessage="1" errorTitle="Invalid Entry" error="Please enter a positive number only." promptTitle="Input Required" prompt="Enter a positive number" sqref="B17:B21" xr:uid="{ECF0A9B4-9E28-465C-9217-5AAC8C0EC5AD}">
      <formula1>0</formula1>
      <formula2>999999999</formula2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2A5A-0C34-4249-B5A4-A7F6F18114E3}">
  <sheetPr codeName="Sheet16"/>
  <dimension ref="A1:G43"/>
  <sheetViews>
    <sheetView workbookViewId="0">
      <selection activeCell="B14" sqref="B14"/>
    </sheetView>
  </sheetViews>
  <sheetFormatPr defaultRowHeight="14.5" x14ac:dyDescent="0.35"/>
  <cols>
    <col min="1" max="1" width="68.54296875" bestFit="1" customWidth="1"/>
    <col min="2" max="2" width="23" bestFit="1" customWidth="1"/>
    <col min="3" max="3" width="30.1796875" bestFit="1" customWidth="1"/>
  </cols>
  <sheetData>
    <row r="1" spans="1:4" ht="18.5" x14ac:dyDescent="0.45">
      <c r="A1" s="18" t="s">
        <v>321</v>
      </c>
    </row>
    <row r="3" spans="1:4" x14ac:dyDescent="0.35">
      <c r="A3" s="19" t="s">
        <v>322</v>
      </c>
    </row>
    <row r="5" spans="1:4" x14ac:dyDescent="0.35">
      <c r="A5" s="21" t="s">
        <v>323</v>
      </c>
    </row>
    <row r="6" spans="1:4" x14ac:dyDescent="0.35">
      <c r="A6" s="11" t="s">
        <v>163</v>
      </c>
      <c r="B6" s="11" t="s">
        <v>324</v>
      </c>
      <c r="C6" s="11" t="s">
        <v>325</v>
      </c>
    </row>
    <row r="7" spans="1:4" x14ac:dyDescent="0.35">
      <c r="A7" t="s">
        <v>326</v>
      </c>
      <c r="B7" t="s">
        <v>327</v>
      </c>
      <c r="C7" t="s">
        <v>328</v>
      </c>
    </row>
    <row r="8" spans="1:4" x14ac:dyDescent="0.35">
      <c r="A8" t="s">
        <v>329</v>
      </c>
      <c r="B8" s="2" t="s">
        <v>330</v>
      </c>
      <c r="C8" t="s">
        <v>331</v>
      </c>
    </row>
    <row r="9" spans="1:4" x14ac:dyDescent="0.35">
      <c r="A9" t="s">
        <v>332</v>
      </c>
      <c r="B9" s="65" t="s">
        <v>333</v>
      </c>
      <c r="C9" t="s">
        <v>334</v>
      </c>
    </row>
    <row r="10" spans="1:4" x14ac:dyDescent="0.35">
      <c r="A10" t="s">
        <v>335</v>
      </c>
      <c r="B10" s="2" t="s">
        <v>336</v>
      </c>
      <c r="C10" t="s">
        <v>337</v>
      </c>
    </row>
    <row r="11" spans="1:4" x14ac:dyDescent="0.35">
      <c r="A11" t="s">
        <v>338</v>
      </c>
      <c r="B11" s="2" t="s">
        <v>336</v>
      </c>
      <c r="C11" t="s">
        <v>337</v>
      </c>
    </row>
    <row r="12" spans="1:4" x14ac:dyDescent="0.35">
      <c r="A12" t="s">
        <v>168</v>
      </c>
      <c r="B12" s="2" t="s">
        <v>336</v>
      </c>
      <c r="C12" t="s">
        <v>337</v>
      </c>
    </row>
    <row r="13" spans="1:4" x14ac:dyDescent="0.35">
      <c r="A13" t="s">
        <v>339</v>
      </c>
      <c r="B13" s="2" t="s">
        <v>336</v>
      </c>
      <c r="C13" t="s">
        <v>337</v>
      </c>
    </row>
    <row r="14" spans="1:4" x14ac:dyDescent="0.35">
      <c r="A14" t="s">
        <v>340</v>
      </c>
      <c r="B14" s="2" t="s">
        <v>336</v>
      </c>
      <c r="C14" t="s">
        <v>337</v>
      </c>
    </row>
    <row r="15" spans="1:4" x14ac:dyDescent="0.35">
      <c r="B15" s="2"/>
    </row>
    <row r="16" spans="1:4" x14ac:dyDescent="0.35">
      <c r="A16" s="21" t="s">
        <v>341</v>
      </c>
      <c r="B16" s="2"/>
      <c r="D16" s="22" t="s">
        <v>53</v>
      </c>
    </row>
    <row r="17" spans="1:7" x14ac:dyDescent="0.35">
      <c r="A17" s="15" t="s">
        <v>342</v>
      </c>
      <c r="B17" s="4">
        <v>1000</v>
      </c>
    </row>
    <row r="18" spans="1:7" x14ac:dyDescent="0.35">
      <c r="A18" s="15" t="s">
        <v>343</v>
      </c>
      <c r="B18" s="6">
        <v>300</v>
      </c>
    </row>
    <row r="19" spans="1:7" x14ac:dyDescent="0.35">
      <c r="A19" s="15" t="s">
        <v>344</v>
      </c>
      <c r="B19" s="66">
        <f>B17-B18</f>
        <v>700</v>
      </c>
    </row>
    <row r="20" spans="1:7" x14ac:dyDescent="0.35">
      <c r="A20" s="15" t="s">
        <v>345</v>
      </c>
      <c r="B20" s="7">
        <v>3</v>
      </c>
      <c r="C20" s="1"/>
      <c r="D20" s="1"/>
    </row>
    <row r="21" spans="1:7" x14ac:dyDescent="0.35">
      <c r="A21" s="15" t="s">
        <v>346</v>
      </c>
      <c r="B21" s="5">
        <v>7</v>
      </c>
      <c r="C21" s="1"/>
      <c r="D21" s="1"/>
    </row>
    <row r="22" spans="1:7" x14ac:dyDescent="0.35">
      <c r="A22" s="15" t="s">
        <v>198</v>
      </c>
      <c r="B22" s="2"/>
    </row>
    <row r="23" spans="1:7" x14ac:dyDescent="0.35">
      <c r="A23" t="s">
        <v>59</v>
      </c>
      <c r="B23" s="12">
        <f>'Key Licensing Rules'!$D$5</f>
        <v>0.01</v>
      </c>
      <c r="C23" s="2" t="s">
        <v>77</v>
      </c>
      <c r="D23" s="2"/>
      <c r="E23" s="2"/>
      <c r="F23" s="2"/>
      <c r="G23" s="2"/>
    </row>
    <row r="24" spans="1:7" x14ac:dyDescent="0.35">
      <c r="B24" s="2"/>
      <c r="C24" s="2"/>
      <c r="D24" s="2"/>
      <c r="E24" s="2"/>
      <c r="F24" s="2"/>
      <c r="G24" s="2"/>
    </row>
    <row r="25" spans="1:7" x14ac:dyDescent="0.35">
      <c r="A25" s="15" t="s">
        <v>347</v>
      </c>
      <c r="B25" s="2"/>
      <c r="C25" s="2"/>
      <c r="D25" s="2"/>
      <c r="E25" s="2"/>
      <c r="F25" s="2"/>
      <c r="G25" s="2"/>
    </row>
    <row r="26" spans="1:7" x14ac:dyDescent="0.35">
      <c r="A26" t="s">
        <v>348</v>
      </c>
      <c r="B26" s="2">
        <v>0</v>
      </c>
      <c r="C26" s="2" t="s">
        <v>349</v>
      </c>
      <c r="D26" s="2"/>
      <c r="E26" s="2"/>
      <c r="F26" s="2"/>
      <c r="G26" s="2"/>
    </row>
    <row r="27" spans="1:7" x14ac:dyDescent="0.35">
      <c r="A27" t="s">
        <v>350</v>
      </c>
      <c r="B27" s="14">
        <f>B19*B20*B21</f>
        <v>14700</v>
      </c>
      <c r="C27" s="2"/>
      <c r="D27" s="2"/>
      <c r="E27" s="2"/>
      <c r="F27" s="2"/>
      <c r="G27" s="2"/>
    </row>
    <row r="28" spans="1:7" x14ac:dyDescent="0.35">
      <c r="B28" s="2"/>
      <c r="C28" s="2"/>
      <c r="D28" s="2"/>
      <c r="E28" s="2"/>
      <c r="F28" s="2"/>
      <c r="G28" s="2"/>
    </row>
    <row r="29" spans="1:7" x14ac:dyDescent="0.35">
      <c r="A29" s="15" t="s">
        <v>68</v>
      </c>
      <c r="B29" s="2"/>
      <c r="C29" s="2"/>
      <c r="D29" s="2"/>
      <c r="E29" s="2"/>
      <c r="F29" s="2"/>
      <c r="G29" s="2"/>
    </row>
    <row r="30" spans="1:7" x14ac:dyDescent="0.35">
      <c r="A30" s="11" t="s">
        <v>69</v>
      </c>
      <c r="B30" s="27" t="s">
        <v>34</v>
      </c>
      <c r="C30" s="27" t="s">
        <v>35</v>
      </c>
      <c r="D30" s="2"/>
      <c r="E30" s="28" t="s">
        <v>351</v>
      </c>
      <c r="F30" s="28" t="s">
        <v>34</v>
      </c>
      <c r="G30" s="2"/>
    </row>
    <row r="31" spans="1:7" x14ac:dyDescent="0.35">
      <c r="A31" t="s">
        <v>7</v>
      </c>
      <c r="B31" s="13">
        <f>B27*'Key Licensing Rules'!$D$5</f>
        <v>147</v>
      </c>
      <c r="C31" s="13">
        <f>B31*12</f>
        <v>1764</v>
      </c>
      <c r="D31" s="2"/>
      <c r="E31" s="2" t="s">
        <v>39</v>
      </c>
      <c r="F31" s="13">
        <f>B31</f>
        <v>147</v>
      </c>
      <c r="G31" s="2"/>
    </row>
    <row r="32" spans="1:7" x14ac:dyDescent="0.35">
      <c r="A32" t="s">
        <v>40</v>
      </c>
      <c r="B32" s="13">
        <f>IF(B27&lt;25000, B27*('Key Licensing Rules'!$D$6/25000), CEILING(B27/25000,1)*'Key Licensing Rules'!$D$6)</f>
        <v>94.08</v>
      </c>
      <c r="C32" s="13">
        <f>B32*12</f>
        <v>1128.96</v>
      </c>
      <c r="D32" s="2"/>
      <c r="E32" s="2" t="s">
        <v>40</v>
      </c>
      <c r="F32" s="13">
        <f>B32</f>
        <v>94.08</v>
      </c>
      <c r="G32" s="2"/>
    </row>
    <row r="33" spans="1:7" x14ac:dyDescent="0.35">
      <c r="A33" t="s">
        <v>41</v>
      </c>
      <c r="B33" s="13">
        <f>B27*'Key Licensing Rules'!$D$7</f>
        <v>139.65</v>
      </c>
      <c r="C33" s="13">
        <f>B33*12</f>
        <v>1675.8000000000002</v>
      </c>
      <c r="D33" s="2"/>
      <c r="E33" s="2" t="s">
        <v>41</v>
      </c>
      <c r="F33" s="13">
        <f>B33</f>
        <v>139.65</v>
      </c>
      <c r="G33" s="2"/>
    </row>
    <row r="34" spans="1:7" x14ac:dyDescent="0.35">
      <c r="A34" t="s">
        <v>43</v>
      </c>
      <c r="B34" s="13">
        <f>IF(B27&lt;25000, MIN(B27*'Key Licensing Rules'!$D$5, B27*('Key Licensing Rules'!$D$6/25000)), QUOTIENT(B27,25000)*'Key Licensing Rules'!$D$6 + MOD(B27,25000)*'Key Licensing Rules'!$D$5)</f>
        <v>94.08</v>
      </c>
      <c r="C34" s="13">
        <f>B34*12</f>
        <v>1128.96</v>
      </c>
      <c r="D34" s="2"/>
      <c r="E34" s="2" t="s">
        <v>45</v>
      </c>
      <c r="F34" s="13">
        <f>B34</f>
        <v>94.08</v>
      </c>
      <c r="G34" s="2"/>
    </row>
    <row r="35" spans="1:7" x14ac:dyDescent="0.35">
      <c r="A35" t="s">
        <v>13</v>
      </c>
      <c r="B35" s="13">
        <f>IF(B27&lt;25000, MIN(B27*'Key Licensing Rules'!$D$7, B27*('Key Licensing Rules'!$D$6/25000)), QUOTIENT(B27,25000)*'Key Licensing Rules'!$D$6 + MOD(B27,25000)*'Key Licensing Rules'!$D$7)</f>
        <v>94.08</v>
      </c>
      <c r="C35" s="13">
        <f>B35*12</f>
        <v>1128.96</v>
      </c>
      <c r="D35" s="2"/>
      <c r="E35" s="2" t="s">
        <v>47</v>
      </c>
      <c r="F35" s="13">
        <f>B35</f>
        <v>94.08</v>
      </c>
      <c r="G35" s="2"/>
    </row>
    <row r="36" spans="1:7" x14ac:dyDescent="0.35">
      <c r="A36" t="s">
        <v>324</v>
      </c>
      <c r="B36" s="13">
        <v>0</v>
      </c>
      <c r="C36" s="13">
        <v>0</v>
      </c>
      <c r="D36" s="2" t="s">
        <v>352</v>
      </c>
      <c r="E36" s="2"/>
      <c r="F36" s="2"/>
    </row>
    <row r="38" spans="1:7" x14ac:dyDescent="0.35">
      <c r="A38" s="15" t="s">
        <v>353</v>
      </c>
    </row>
    <row r="39" spans="1:7" x14ac:dyDescent="0.35">
      <c r="A39" t="s">
        <v>354</v>
      </c>
    </row>
    <row r="40" spans="1:7" x14ac:dyDescent="0.35">
      <c r="A40" t="s">
        <v>355</v>
      </c>
    </row>
    <row r="42" spans="1:7" x14ac:dyDescent="0.35">
      <c r="A42" s="15" t="s">
        <v>356</v>
      </c>
      <c r="B42" s="17" t="str">
        <f>INDEX(A31:A35,MATCH(MIN(B31:B35),B31:B35,0))&amp;" is cheapest"</f>
        <v>Capacity Packs is cheapest</v>
      </c>
      <c r="C42" t="str">
        <f>"Monthly: "&amp;TEXT(MIN(B31:B35),"[$$-en-US]#,##0.00")</f>
        <v>Monthly: $94.08</v>
      </c>
    </row>
    <row r="43" spans="1:7" x14ac:dyDescent="0.35">
      <c r="A43" t="s">
        <v>356</v>
      </c>
      <c r="B43" t="str">
        <f>INDEX(A31:A35,MATCH(MIN(B31:B35),B31:B35,0))&amp;" is cheapest"</f>
        <v>Capacity Packs is cheapest</v>
      </c>
      <c r="C43" t="str">
        <f>"Monthly: "&amp;TEXT(MIN(B31:B35),"[$$-en-US]#,##0.00")</f>
        <v>Monthly: $94.08</v>
      </c>
    </row>
  </sheetData>
  <sheetProtection algorithmName="SHA-512" hashValue="V3C95cmhMLrgjd1/Ue/fRhOspkpZ5lm69NRpLgb4mGHRi8a0O0iTb/e1/WzS0eorlVve8BpXyat179V2BXrKYQ==" saltValue="Iv1k6ryYfFhkDb+okA2YAg==" spinCount="100000" sheet="1" objects="1" scenarios="1"/>
  <dataValidations count="1">
    <dataValidation type="decimal" allowBlank="1" showInputMessage="1" showErrorMessage="1" errorTitle="Invalid Entry" error="Please enter a positive number only." sqref="B17:B18 B20:B21" xr:uid="{3B07171C-A530-4E1F-B6DF-0DA71E8B97F5}">
      <formula1>0</formula1>
      <formula2>999999999</formula2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b29481-cd5a-4eda-a79a-dfc03e8acb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F0F630A911047891259E114B4A5A2" ma:contentTypeVersion="12" ma:contentTypeDescription="Create a new document." ma:contentTypeScope="" ma:versionID="fa966928af56dfc3aed8efa19cd55eff">
  <xsd:schema xmlns:xsd="http://www.w3.org/2001/XMLSchema" xmlns:xs="http://www.w3.org/2001/XMLSchema" xmlns:p="http://schemas.microsoft.com/office/2006/metadata/properties" xmlns:ns3="74b29481-cd5a-4eda-a79a-dfc03e8acbf0" targetNamespace="http://schemas.microsoft.com/office/2006/metadata/properties" ma:root="true" ma:fieldsID="47c93e54e15dca9c34d02bb0f07b9de0" ns3:_="">
    <xsd:import namespace="74b29481-cd5a-4eda-a79a-dfc03e8acb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29481-cd5a-4eda-a79a-dfc03e8acb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3B3B81-01C0-4096-906A-C71B11F43C28}">
  <ds:schemaRefs>
    <ds:schemaRef ds:uri="http://schemas.microsoft.com/office/2006/metadata/properties"/>
    <ds:schemaRef ds:uri="http://schemas.microsoft.com/office/infopath/2007/PartnerControls"/>
    <ds:schemaRef ds:uri="74b29481-cd5a-4eda-a79a-dfc03e8acbf0"/>
  </ds:schemaRefs>
</ds:datastoreItem>
</file>

<file path=customXml/itemProps2.xml><?xml version="1.0" encoding="utf-8"?>
<ds:datastoreItem xmlns:ds="http://schemas.openxmlformats.org/officeDocument/2006/customXml" ds:itemID="{900D5901-E5B6-43F1-8B12-608163DE3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B23F79-E3A3-4A9D-9898-810972FAA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b29481-cd5a-4eda-a79a-dfc03e8ac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Key Licensing Rules</vt:lpstr>
      <vt:lpstr>1-Classic Answer</vt:lpstr>
      <vt:lpstr>2-Generative Answer</vt:lpstr>
      <vt:lpstr>3-Agent Action</vt:lpstr>
      <vt:lpstr>4-Graph Grounding</vt:lpstr>
      <vt:lpstr>5-Agent Flow Actions</vt:lpstr>
      <vt:lpstr>6-Autonomous Trigger</vt:lpstr>
      <vt:lpstr>7-AI Tools</vt:lpstr>
      <vt:lpstr>8-Content Processing</vt:lpstr>
      <vt:lpstr>9-Combined Features</vt:lpstr>
      <vt:lpstr>10-Public Website Agent</vt:lpstr>
      <vt:lpstr>11-Agent Builder Lite</vt:lpstr>
      <vt:lpstr>12-External Channel</vt:lpstr>
      <vt:lpstr>13-Proactive Greeting</vt:lpstr>
      <vt:lpstr>14-Testing vs Prod</vt:lpstr>
      <vt:lpstr>15-Teams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Prashant Rangi</dc:creator>
  <cp:keywords/>
  <dc:description/>
  <cp:lastModifiedBy>Prashant Rangi</cp:lastModifiedBy>
  <cp:revision/>
  <dcterms:created xsi:type="dcterms:W3CDTF">2026-03-01T00:44:40Z</dcterms:created>
  <dcterms:modified xsi:type="dcterms:W3CDTF">2026-03-02T06:01:47Z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0x01010021FF0F630A911047891259E114B4A5A2</vt:lpwstr>
  </property>
</Properties>
</file>